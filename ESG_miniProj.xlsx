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56DAE707-9DBB-446D-8DD2-B9F87D65F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Actions" sheetId="2" r:id="rId2"/>
    <sheet name="Suppliers" sheetId="3" r:id="rId3"/>
    <sheet name="Products" sheetId="4" r:id="rId4"/>
    <sheet name="Packaging" sheetId="5" r:id="rId5"/>
    <sheet name="ESG_Monthly" sheetId="6" r:id="rId6"/>
    <sheet name="Regulations" sheetId="7" r:id="rId7"/>
    <sheet name="Costs" sheetId="8" r:id="rId8"/>
    <sheet name="READ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M12" i="8"/>
  <c r="L12" i="8"/>
  <c r="O11" i="8"/>
  <c r="I11" i="8"/>
  <c r="H11" i="8"/>
  <c r="O10" i="8"/>
  <c r="I10" i="8"/>
  <c r="H10" i="8"/>
  <c r="O9" i="8"/>
  <c r="I9" i="8"/>
  <c r="J9" i="8" s="1"/>
  <c r="K9" i="8" s="1"/>
  <c r="M9" i="8" s="1"/>
  <c r="H9" i="8"/>
  <c r="O8" i="8"/>
  <c r="I8" i="8"/>
  <c r="H8" i="8"/>
  <c r="O7" i="8"/>
  <c r="I7" i="8"/>
  <c r="H7" i="8"/>
  <c r="J7" i="8" s="1"/>
  <c r="R6" i="8"/>
  <c r="O6" i="8"/>
  <c r="J6" i="8"/>
  <c r="K6" i="8" s="1"/>
  <c r="M6" i="8" s="1"/>
  <c r="I6" i="8"/>
  <c r="H6" i="8"/>
  <c r="O5" i="8"/>
  <c r="I5" i="8"/>
  <c r="H5" i="8"/>
  <c r="J5" i="8" s="1"/>
  <c r="K5" i="8" s="1"/>
  <c r="M5" i="8" s="1"/>
  <c r="O4" i="8"/>
  <c r="I4" i="8"/>
  <c r="H4" i="8"/>
  <c r="O3" i="8"/>
  <c r="I3" i="8"/>
  <c r="J3" i="8" s="1"/>
  <c r="K3" i="8" s="1"/>
  <c r="M3" i="8" s="1"/>
  <c r="H3" i="8"/>
  <c r="I2" i="8"/>
  <c r="H2" i="8"/>
  <c r="J2" i="8" s="1"/>
  <c r="P7" i="7"/>
  <c r="O7" i="7"/>
  <c r="P6" i="7"/>
  <c r="O6" i="7"/>
  <c r="P5" i="7"/>
  <c r="O5" i="7"/>
  <c r="T4" i="7"/>
  <c r="P4" i="7"/>
  <c r="O4" i="7"/>
  <c r="T3" i="7"/>
  <c r="P3" i="7"/>
  <c r="O3" i="7"/>
  <c r="T2" i="7"/>
  <c r="P2" i="7"/>
  <c r="O2" i="7"/>
  <c r="F14" i="6"/>
  <c r="E14" i="6"/>
  <c r="D14" i="6"/>
  <c r="C14" i="6"/>
  <c r="W13" i="6"/>
  <c r="U13" i="6"/>
  <c r="K13" i="6"/>
  <c r="J13" i="6"/>
  <c r="I13" i="6"/>
  <c r="H13" i="6"/>
  <c r="V13" i="6" s="1"/>
  <c r="W12" i="6"/>
  <c r="U12" i="6"/>
  <c r="K12" i="6"/>
  <c r="J12" i="6"/>
  <c r="I12" i="6"/>
  <c r="H12" i="6"/>
  <c r="V12" i="6" s="1"/>
  <c r="V11" i="6"/>
  <c r="U11" i="6"/>
  <c r="K11" i="6"/>
  <c r="J11" i="6"/>
  <c r="I11" i="6"/>
  <c r="W11" i="6" s="1"/>
  <c r="H11" i="6"/>
  <c r="V10" i="6"/>
  <c r="U10" i="6"/>
  <c r="K10" i="6"/>
  <c r="J10" i="6"/>
  <c r="I10" i="6"/>
  <c r="W10" i="6" s="1"/>
  <c r="H10" i="6"/>
  <c r="U9" i="6"/>
  <c r="K9" i="6"/>
  <c r="J9" i="6"/>
  <c r="I9" i="6"/>
  <c r="W9" i="6" s="1"/>
  <c r="H9" i="6"/>
  <c r="V9" i="6" s="1"/>
  <c r="W8" i="6"/>
  <c r="U8" i="6"/>
  <c r="K8" i="6"/>
  <c r="J8" i="6"/>
  <c r="I8" i="6"/>
  <c r="H8" i="6"/>
  <c r="V8" i="6" s="1"/>
  <c r="U7" i="6"/>
  <c r="K7" i="6"/>
  <c r="J7" i="6"/>
  <c r="I7" i="6"/>
  <c r="W7" i="6" s="1"/>
  <c r="H7" i="6"/>
  <c r="V7" i="6" s="1"/>
  <c r="U6" i="6"/>
  <c r="K6" i="6"/>
  <c r="J6" i="6"/>
  <c r="I6" i="6"/>
  <c r="W6" i="6" s="1"/>
  <c r="H6" i="6"/>
  <c r="V6" i="6" s="1"/>
  <c r="V5" i="6"/>
  <c r="U5" i="6"/>
  <c r="K5" i="6"/>
  <c r="J5" i="6"/>
  <c r="I5" i="6"/>
  <c r="W5" i="6" s="1"/>
  <c r="H5" i="6"/>
  <c r="W4" i="6"/>
  <c r="V4" i="6"/>
  <c r="U4" i="6"/>
  <c r="K4" i="6"/>
  <c r="J4" i="6"/>
  <c r="I4" i="6"/>
  <c r="H4" i="6"/>
  <c r="W3" i="6"/>
  <c r="V3" i="6"/>
  <c r="U3" i="6"/>
  <c r="K3" i="6"/>
  <c r="J3" i="6"/>
  <c r="I3" i="6"/>
  <c r="H3" i="6"/>
  <c r="U2" i="6"/>
  <c r="K2" i="6"/>
  <c r="J14" i="6" s="1"/>
  <c r="A12" i="1" s="1"/>
  <c r="J2" i="6"/>
  <c r="I2" i="6"/>
  <c r="I14" i="6" s="1"/>
  <c r="L35" i="1" s="1"/>
  <c r="H2" i="6"/>
  <c r="H14" i="6" s="1"/>
  <c r="L34" i="1" s="1"/>
  <c r="S12" i="5"/>
  <c r="S11" i="5"/>
  <c r="H9" i="5"/>
  <c r="N9" i="5" s="1"/>
  <c r="I9" i="5" s="1"/>
  <c r="H8" i="5"/>
  <c r="N8" i="5" s="1"/>
  <c r="I8" i="5" s="1"/>
  <c r="R7" i="5"/>
  <c r="H7" i="5"/>
  <c r="N7" i="5" s="1"/>
  <c r="I7" i="5" s="1"/>
  <c r="H6" i="5"/>
  <c r="N6" i="5" s="1"/>
  <c r="I6" i="5" s="1"/>
  <c r="R5" i="5"/>
  <c r="H5" i="5"/>
  <c r="N5" i="5" s="1"/>
  <c r="I5" i="5" s="1"/>
  <c r="H4" i="5"/>
  <c r="N4" i="5" s="1"/>
  <c r="I4" i="5" s="1"/>
  <c r="H3" i="5"/>
  <c r="N3" i="5" s="1"/>
  <c r="I3" i="5" s="1"/>
  <c r="R2" i="5"/>
  <c r="H2" i="5"/>
  <c r="N2" i="5" s="1"/>
  <c r="H6" i="4"/>
  <c r="G6" i="4" s="1"/>
  <c r="H5" i="4"/>
  <c r="G5" i="4" s="1"/>
  <c r="H4" i="4"/>
  <c r="G4" i="4" s="1"/>
  <c r="L3" i="4"/>
  <c r="H3" i="4"/>
  <c r="G3" i="4" s="1"/>
  <c r="L2" i="4"/>
  <c r="H2" i="4"/>
  <c r="G2" i="4"/>
  <c r="V7" i="3"/>
  <c r="V6" i="3"/>
  <c r="S6" i="3"/>
  <c r="P6" i="3"/>
  <c r="S5" i="3"/>
  <c r="P5" i="3"/>
  <c r="S4" i="3"/>
  <c r="P4" i="3"/>
  <c r="S3" i="3"/>
  <c r="P3" i="3"/>
  <c r="V2" i="3"/>
  <c r="S2" i="3"/>
  <c r="V5" i="3" s="1"/>
  <c r="F7" i="1" s="1"/>
  <c r="P2" i="3"/>
  <c r="V8" i="3" s="1"/>
  <c r="N14" i="2"/>
  <c r="L14" i="2"/>
  <c r="M14" i="2" s="1"/>
  <c r="N13" i="2"/>
  <c r="L13" i="2" s="1"/>
  <c r="M13" i="2" s="1"/>
  <c r="N12" i="2"/>
  <c r="L12" i="2" s="1"/>
  <c r="M12" i="2" s="1"/>
  <c r="N11" i="2"/>
  <c r="L11" i="2"/>
  <c r="M11" i="2" s="1"/>
  <c r="N10" i="2"/>
  <c r="L10" i="2"/>
  <c r="M10" i="2" s="1"/>
  <c r="N9" i="2"/>
  <c r="L9" i="2"/>
  <c r="M9" i="2" s="1"/>
  <c r="N8" i="2"/>
  <c r="L8" i="2" s="1"/>
  <c r="M8" i="2" s="1"/>
  <c r="N7" i="2"/>
  <c r="L7" i="2" s="1"/>
  <c r="M7" i="2" s="1"/>
  <c r="I6" i="2"/>
  <c r="N6" i="2" s="1"/>
  <c r="H6" i="2"/>
  <c r="G6" i="2"/>
  <c r="F6" i="2"/>
  <c r="E6" i="2"/>
  <c r="D6" i="2"/>
  <c r="I5" i="2"/>
  <c r="N5" i="2" s="1"/>
  <c r="H5" i="2"/>
  <c r="G5" i="2"/>
  <c r="F5" i="2"/>
  <c r="E5" i="2"/>
  <c r="D5" i="2"/>
  <c r="I4" i="2"/>
  <c r="H4" i="2"/>
  <c r="G4" i="2"/>
  <c r="F4" i="2"/>
  <c r="E4" i="2"/>
  <c r="D4" i="2"/>
  <c r="I3" i="2"/>
  <c r="N3" i="2" s="1"/>
  <c r="H3" i="2"/>
  <c r="G3" i="2"/>
  <c r="F3" i="2"/>
  <c r="D36" i="1" s="1"/>
  <c r="E3" i="2"/>
  <c r="D3" i="2"/>
  <c r="R2" i="2"/>
  <c r="N2" i="2"/>
  <c r="I2" i="2"/>
  <c r="L2" i="2" s="1"/>
  <c r="H2" i="2"/>
  <c r="G2" i="2"/>
  <c r="F2" i="2"/>
  <c r="E2" i="2"/>
  <c r="O2" i="8" s="1"/>
  <c r="D2" i="2"/>
  <c r="R3" i="5" l="1"/>
  <c r="I2" i="5"/>
  <c r="M2" i="2"/>
  <c r="C34" i="1"/>
  <c r="B34" i="1"/>
  <c r="K2" i="8"/>
  <c r="K7" i="8"/>
  <c r="M7" i="8" s="1"/>
  <c r="J10" i="8"/>
  <c r="K10" i="8" s="1"/>
  <c r="M10" i="8" s="1"/>
  <c r="C36" i="1"/>
  <c r="L6" i="2"/>
  <c r="M6" i="2" s="1"/>
  <c r="J8" i="8"/>
  <c r="K8" i="8" s="1"/>
  <c r="M8" i="8" s="1"/>
  <c r="N4" i="2"/>
  <c r="L4" i="2" s="1"/>
  <c r="M4" i="2" s="1"/>
  <c r="B36" i="1"/>
  <c r="V2" i="6"/>
  <c r="W2" i="6"/>
  <c r="J11" i="8"/>
  <c r="K11" i="8" s="1"/>
  <c r="L3" i="2"/>
  <c r="V3" i="3"/>
  <c r="V4" i="3" s="1"/>
  <c r="J4" i="8"/>
  <c r="J12" i="8" s="1"/>
  <c r="H12" i="8"/>
  <c r="L5" i="2"/>
  <c r="M5" i="2" s="1"/>
  <c r="M11" i="8" l="1"/>
  <c r="R5" i="8"/>
  <c r="R6" i="2"/>
  <c r="D34" i="1"/>
  <c r="M3" i="2"/>
  <c r="C35" i="1"/>
  <c r="B35" i="1"/>
  <c r="R7" i="2"/>
  <c r="R3" i="2"/>
  <c r="R4" i="2" s="1"/>
  <c r="R5" i="2"/>
  <c r="K7" i="1" s="1"/>
  <c r="D35" i="1"/>
  <c r="K4" i="8"/>
  <c r="M4" i="8" s="1"/>
  <c r="M2" i="8"/>
  <c r="R4" i="8"/>
  <c r="K12" i="8"/>
  <c r="R12" i="5"/>
  <c r="R11" i="5"/>
  <c r="R4" i="5"/>
  <c r="R6" i="5"/>
  <c r="F12" i="1" s="1"/>
  <c r="K12" i="1" l="1"/>
  <c r="R3" i="8"/>
</calcChain>
</file>

<file path=xl/sharedStrings.xml><?xml version="1.0" encoding="utf-8"?>
<sst xmlns="http://schemas.openxmlformats.org/spreadsheetml/2006/main" count="660" uniqueCount="395">
  <si>
    <t>DIY retailer sustainability review</t>
  </si>
  <si>
    <t>Portfolio demonstration. 2025 operating data for one fictional store and five sample products.</t>
  </si>
  <si>
    <t>Review date</t>
  </si>
  <si>
    <t>Amber cells are inputs. Pale green cells contain calculations.</t>
  </si>
  <si>
    <t>Supplier evidence readiness</t>
  </si>
  <si>
    <t>High-priority suppliers</t>
  </si>
  <si>
    <t>Overdue actions</t>
  </si>
  <si>
    <t>Current claim evidence, 5 suppliers</t>
  </si>
  <si>
    <t>Evidence gaps needing attention</t>
  </si>
  <si>
    <t>Based on the review date</t>
  </si>
  <si>
    <t>Store waste recycled</t>
  </si>
  <si>
    <t>Packaging sold in 2025</t>
  </si>
  <si>
    <t>Planned resource cost</t>
  </si>
  <si>
    <t>2025 weighted annual rate</t>
  </si>
  <si>
    <t>Sample products; estimated kg</t>
  </si>
  <si>
    <t>Includes staff time and contingency</t>
  </si>
  <si>
    <t>Action priority</t>
  </si>
  <si>
    <t>Open</t>
  </si>
  <si>
    <t>Overdue</t>
  </si>
  <si>
    <t>Closed</t>
  </si>
  <si>
    <t>2025 energy-related CO2 estimates</t>
  </si>
  <si>
    <t>High</t>
  </si>
  <si>
    <t>Electricity consumption (tonnes CO2)</t>
  </si>
  <si>
    <t>Medium</t>
  </si>
  <si>
    <t>Natural gas combustion (tonnes CO2)</t>
  </si>
  <si>
    <t>Low</t>
  </si>
  <si>
    <t>CO2-only estimates. Electricity includes losses and excludes emissions outside Ireland. These results are not a complete Scope 1 and Scope 2 inventory.</t>
  </si>
  <si>
    <t>Evidence remains unverified even when input fields are complete.</t>
  </si>
  <si>
    <t>The data is synthetic. This workbook supports evidence collection, review and planning; it does not certify supplier or legal compliance.</t>
  </si>
  <si>
    <t>Action_ID</t>
  </si>
  <si>
    <t>Topic</t>
  </si>
  <si>
    <t>Linked_ID</t>
  </si>
  <si>
    <t>Action</t>
  </si>
  <si>
    <t>Internal_Owner</t>
  </si>
  <si>
    <t>Priority</t>
  </si>
  <si>
    <t>Start_Date</t>
  </si>
  <si>
    <t>Due_Date</t>
  </si>
  <si>
    <t>Status</t>
  </si>
  <si>
    <t>Completion_Date</t>
  </si>
  <si>
    <t>Closure_Evidence</t>
  </si>
  <si>
    <t>Due_Status</t>
  </si>
  <si>
    <t>Days_Overdue</t>
  </si>
  <si>
    <t>Closure_Check</t>
  </si>
  <si>
    <t>Data_Type</t>
  </si>
  <si>
    <t>Action metrics</t>
  </si>
  <si>
    <t>Value</t>
  </si>
  <si>
    <t>ACT001</t>
  </si>
  <si>
    <t>Supplier evidence</t>
  </si>
  <si>
    <t>SUP001</t>
  </si>
  <si>
    <t>Synthetic</t>
  </si>
  <si>
    <t>Total actions</t>
  </si>
  <si>
    <t>ACT002</t>
  </si>
  <si>
    <t>SUP002</t>
  </si>
  <si>
    <t>Closed with evidence</t>
  </si>
  <si>
    <t>ACT003</t>
  </si>
  <si>
    <t>SUP003</t>
  </si>
  <si>
    <t>Open actions</t>
  </si>
  <si>
    <t>ACT004</t>
  </si>
  <si>
    <t>SUP004</t>
  </si>
  <si>
    <t>ACT005</t>
  </si>
  <si>
    <t>SUP005</t>
  </si>
  <si>
    <t>Due soon or today</t>
  </si>
  <si>
    <t>ACT006</t>
  </si>
  <si>
    <t>Packaging data</t>
  </si>
  <si>
    <t>All components</t>
  </si>
  <si>
    <t>Obtain measured component weights and linked evidence.</t>
  </si>
  <si>
    <t>Commercial and Suppliers</t>
  </si>
  <si>
    <t>Not started</t>
  </si>
  <si>
    <t>Closure incomplete</t>
  </si>
  <si>
    <t>ACT007</t>
  </si>
  <si>
    <t>Claims review</t>
  </si>
  <si>
    <t>REG001</t>
  </si>
  <si>
    <t>Review public claim wording and record approval or withdrawal.</t>
  </si>
  <si>
    <t>Commercial and Marketing</t>
  </si>
  <si>
    <t>ACT008</t>
  </si>
  <si>
    <t>Timber screening</t>
  </si>
  <si>
    <t>REG003</t>
  </si>
  <si>
    <t>Confirm product codes, retailer role, size and timber traceability requirements.</t>
  </si>
  <si>
    <t>Sustainability Manager</t>
  </si>
  <si>
    <t>ACT009</t>
  </si>
  <si>
    <t>Activity evidence</t>
  </si>
  <si>
    <t>STORE01</t>
  </si>
  <si>
    <t>Replace demo activity data with bills and waste records in a real deployment.</t>
  </si>
  <si>
    <t>Operations and Finance</t>
  </si>
  <si>
    <t>ACT001 to ACT005 link to Suppliers. Edit the supplier status there. Other task dates and owners are planning assumptions. A Closed status needs both a completion date and a closure reference.</t>
  </si>
  <si>
    <t>ACT010</t>
  </si>
  <si>
    <t>GHG boundary</t>
  </si>
  <si>
    <t>Define the full inventory boundary, other gases and the electricity method.</t>
  </si>
  <si>
    <t>ACT011</t>
  </si>
  <si>
    <t>WEEE review</t>
  </si>
  <si>
    <t>REG006</t>
  </si>
  <si>
    <t>Check electrical producer registration, take-back arrangements and records.</t>
  </si>
  <si>
    <t>Operations Manager</t>
  </si>
  <si>
    <t>ACT012</t>
  </si>
  <si>
    <t>Lighting scope</t>
  </si>
  <si>
    <t>REG005</t>
  </si>
  <si>
    <t>Confirm light-source classification and the applicable label and model data.</t>
  </si>
  <si>
    <t>Lighting Category Manager</t>
  </si>
  <si>
    <t>ACT013</t>
  </si>
  <si>
    <t>Packaging scope</t>
  </si>
  <si>
    <t>REG002</t>
  </si>
  <si>
    <t>Map PPWR duties, phased dates and Irish producer-responsibility requirements.</t>
  </si>
  <si>
    <t>Supplier_ID</t>
  </si>
  <si>
    <t>Supplier_Name</t>
  </si>
  <si>
    <t>Supplier_Country</t>
  </si>
  <si>
    <t>Main_Category</t>
  </si>
  <si>
    <t>Sustainability_Claim</t>
  </si>
  <si>
    <t>Evidence_Status</t>
  </si>
  <si>
    <t>Verification_Status</t>
  </si>
  <si>
    <t>Next_Action</t>
  </si>
  <si>
    <t>Request_Date</t>
  </si>
  <si>
    <t>Follow_Up_Status</t>
  </si>
  <si>
    <t>Evidence_Reference</t>
  </si>
  <si>
    <t>Review_Notes</t>
  </si>
  <si>
    <t>Priority_Reason</t>
  </si>
  <si>
    <t>Claim_Use_Status</t>
  </si>
  <si>
    <t>Supplier metrics</t>
  </si>
  <si>
    <t>Demo Timber Ltd</t>
  </si>
  <si>
    <t>Ireland</t>
  </si>
  <si>
    <t>Timber &amp; Garden</t>
  </si>
  <si>
    <t>Garden Category Manager</t>
  </si>
  <si>
    <t>Timber comes from responsibly managed forests</t>
  </si>
  <si>
    <t>Not received</t>
  </si>
  <si>
    <t>Unverified</t>
  </si>
  <si>
    <t>Request sourcing certificate and documents linking it to the supplied timber</t>
  </si>
  <si>
    <t>Awaiting response</t>
  </si>
  <si>
    <t>Not provided</t>
  </si>
  <si>
    <t>Sourcing claim cannot be checked until supporting evidence is received</t>
  </si>
  <si>
    <t>Sourcing claim has no supporting evidence.</t>
  </si>
  <si>
    <t>Suppliers</t>
  </si>
  <si>
    <t>Demo Paint Palace Ltd</t>
  </si>
  <si>
    <t>India</t>
  </si>
  <si>
    <t>Paint</t>
  </si>
  <si>
    <t>Paint Category Manager</t>
  </si>
  <si>
    <t>Paint has low VOC content</t>
  </si>
  <si>
    <t>Technical data sheet received; review pending</t>
  </si>
  <si>
    <t>Check the stated VOC content and which paint products the document covers</t>
  </si>
  <si>
    <t>Under review</t>
  </si>
  <si>
    <t>Demo document pending</t>
  </si>
  <si>
    <t>Technical data sheet needs review for VOC content and product coverage</t>
  </si>
  <si>
    <t>Technical document is recorded as received but still needs review.</t>
  </si>
  <si>
    <t>Evidence ready</t>
  </si>
  <si>
    <t>Demo Lighting Solutions Ltd</t>
  </si>
  <si>
    <t>China</t>
  </si>
  <si>
    <t>Lighting</t>
  </si>
  <si>
    <t>Lighting products are energy-efficient</t>
  </si>
  <si>
    <t>Product specifications received; review pending</t>
  </si>
  <si>
    <t>Request model-specific energy performance evidence and check it against the claim</t>
  </si>
  <si>
    <t>Specifications need review for model-specific energy performance</t>
  </si>
  <si>
    <t>Model-specific performance still needs checking.</t>
  </si>
  <si>
    <t>Evidence readiness</t>
  </si>
  <si>
    <t>Demo EverydayTools Ltd</t>
  </si>
  <si>
    <t>Tools</t>
  </si>
  <si>
    <t>Tools Category Manager</t>
  </si>
  <si>
    <t>Tool packaging contains 80% recycled material</t>
  </si>
  <si>
    <t>Supplier statement received; supporting evidence missing</t>
  </si>
  <si>
    <t>Request evidence supporting the 80% recycled-content claim, confirm which packaging components it covers, and ask where the recycled material is sourced.</t>
  </si>
  <si>
    <t>Supplier statement does not substantiate 80%; percentage, components and material source need checking</t>
  </si>
  <si>
    <t>The 80% claim has no proof of percentage, components or source.</t>
  </si>
  <si>
    <t>High priority</t>
  </si>
  <si>
    <t>Demo Garden King Ltd</t>
  </si>
  <si>
    <t>Garden Furniture</t>
  </si>
  <si>
    <t>Timber is eco-friendly</t>
  </si>
  <si>
    <t>Expired certificate</t>
  </si>
  <si>
    <t>Request a current certificate and check that it covers the relevant supplier and timber products</t>
  </si>
  <si>
    <t>Certificate has expired; request current evidence and check product coverage</t>
  </si>
  <si>
    <t>Certificate has expired and the environmental claim is broad.</t>
  </si>
  <si>
    <t>Unverified claims</t>
  </si>
  <si>
    <t>Expired certificates</t>
  </si>
  <si>
    <t>Response overdue</t>
  </si>
  <si>
    <t>Priority is a project judgement about evidence gaps. It is not a legal risk score. Ready for approval still requires a claim wording and product scope decision.</t>
  </si>
  <si>
    <t>Product_ID</t>
  </si>
  <si>
    <t>Product_Name</t>
  </si>
  <si>
    <t>Category</t>
  </si>
  <si>
    <t>Units_Sold_2025</t>
  </si>
  <si>
    <t>Supplier_Link_Status</t>
  </si>
  <si>
    <t>Product metrics</t>
  </si>
  <si>
    <t>PR001</t>
  </si>
  <si>
    <t>Timber fence panel</t>
  </si>
  <si>
    <t>Sample products</t>
  </si>
  <si>
    <t>PR002</t>
  </si>
  <si>
    <t>Interior paint 5L</t>
  </si>
  <si>
    <t>Units sold in 2025</t>
  </si>
  <si>
    <t>PR003</t>
  </si>
  <si>
    <t>LED ceiling light</t>
  </si>
  <si>
    <t>PR004</t>
  </si>
  <si>
    <t>20-piece tool set</t>
  </si>
  <si>
    <t>PR005</t>
  </si>
  <si>
    <t>Wooden garden chair</t>
  </si>
  <si>
    <t>The five products are a sample. Their volumes do not establish entity-wide packaging obligations or company turnover.</t>
  </si>
  <si>
    <t>Packaging_ID</t>
  </si>
  <si>
    <t>Component</t>
  </si>
  <si>
    <t>Material</t>
  </si>
  <si>
    <t>Estimated_Weight_g_Per_Unit</t>
  </si>
  <si>
    <t>Annual_Packaging_kg</t>
  </si>
  <si>
    <t>Verified_Recycled_Content</t>
  </si>
  <si>
    <t>Recycled_Material_Source</t>
  </si>
  <si>
    <t>Recycled_Evidence_Reference</t>
  </si>
  <si>
    <t>Recycled_Verification</t>
  </si>
  <si>
    <t>Weight_Record_Status</t>
  </si>
  <si>
    <t>Weight_Evidence_Reference</t>
  </si>
  <si>
    <t>Packaging metrics</t>
  </si>
  <si>
    <t>PK001</t>
  </si>
  <si>
    <t>Protective film</t>
  </si>
  <si>
    <t>Plastic</t>
  </si>
  <si>
    <t>Component records</t>
  </si>
  <si>
    <t>PK002</t>
  </si>
  <si>
    <t>Paint tub</t>
  </si>
  <si>
    <t>Complete weight records</t>
  </si>
  <si>
    <t>PK003</t>
  </si>
  <si>
    <t>Tub lid</t>
  </si>
  <si>
    <t>Weight data completion</t>
  </si>
  <si>
    <t>PK004</t>
  </si>
  <si>
    <t>Outer box</t>
  </si>
  <si>
    <t>Cardboard</t>
  </si>
  <si>
    <t>Verified weight records</t>
  </si>
  <si>
    <t>PK005</t>
  </si>
  <si>
    <t>Annual packaging kg</t>
  </si>
  <si>
    <t>PK006</t>
  </si>
  <si>
    <t>Protective insert</t>
  </si>
  <si>
    <t>Verified recycled records</t>
  </si>
  <si>
    <t>PK007</t>
  </si>
  <si>
    <t>PK008</t>
  </si>
  <si>
    <t>Annual kg</t>
  </si>
  <si>
    <t>Chart zero baseline</t>
  </si>
  <si>
    <t>The 80% tools-packaging claim remains in Suppliers. No percentage is assigned to an individual component until its coverage, material source and supporting evidence are confirmed. Blank verified percentages mean unknown, not zero.</t>
  </si>
  <si>
    <t>Month</t>
  </si>
  <si>
    <t>Site_ID</t>
  </si>
  <si>
    <t>Electricity_kWh</t>
  </si>
  <si>
    <t>Gas_kWh_GCV</t>
  </si>
  <si>
    <t>Total_Waste_kg</t>
  </si>
  <si>
    <t>Recycled_Waste_kg</t>
  </si>
  <si>
    <t>Electricity_CO2_kg</t>
  </si>
  <si>
    <t>Gas_CO2_kg</t>
  </si>
  <si>
    <t>Recycling_Rate</t>
  </si>
  <si>
    <t>Record_Status</t>
  </si>
  <si>
    <t>Factor</t>
  </si>
  <si>
    <t>kg_CO2_per_kWh</t>
  </si>
  <si>
    <t>Year</t>
  </si>
  <si>
    <t>Source_URL</t>
  </si>
  <si>
    <t>Electricity CO2 kg</t>
  </si>
  <si>
    <t>Gas CO2 kg</t>
  </si>
  <si>
    <t>Electricity consumption</t>
  </si>
  <si>
    <t>Provisional</t>
  </si>
  <si>
    <t>https://www.seai.ie/data-and-insights/seai-statistics/conversion-factors</t>
  </si>
  <si>
    <t>Natural gas GCV</t>
  </si>
  <si>
    <t>Source</t>
  </si>
  <si>
    <t>CO2 estimates only. Electricity includes network losses and excludes emissions arising outside Ireland. The factor covers more than Scope 2 alone. A complete Scope 1 and Scope 2 CO2e inventory remains pending.</t>
  </si>
  <si>
    <t>Gas inputs use GCV. These activity inputs are synthetic and have no bills or waste transfer records attached. The waste figures describe store waste, not packaging sold with products.</t>
  </si>
  <si>
    <t>Annual Total</t>
  </si>
  <si>
    <t>Factors checked on</t>
  </si>
  <si>
    <t>Regulation_ID</t>
  </si>
  <si>
    <t>Framework</t>
  </si>
  <si>
    <t>Applicability_to_Demo</t>
  </si>
  <si>
    <t>Milestone_Type</t>
  </si>
  <si>
    <t>Application_Date</t>
  </si>
  <si>
    <t>Required_Action</t>
  </si>
  <si>
    <t>Readiness_Status</t>
  </si>
  <si>
    <t>Checked_On</t>
  </si>
  <si>
    <t>Next_Source_Review</t>
  </si>
  <si>
    <t>Date_Status</t>
  </si>
  <si>
    <t>Days_to_Application</t>
  </si>
  <si>
    <t>Scope_Notes</t>
  </si>
  <si>
    <t>Register scope</t>
  </si>
  <si>
    <t>Environmental claims</t>
  </si>
  <si>
    <t>S.I. 124/2026 and Directive (EU) 2024/825</t>
  </si>
  <si>
    <t>Relevant to consumer-facing sustainability claims.</t>
  </si>
  <si>
    <t>Application date</t>
  </si>
  <si>
    <t>Review claim wording and hold unsupported claims.</t>
  </si>
  <si>
    <t>Not assessed</t>
  </si>
  <si>
    <t>CCPC</t>
  </si>
  <si>
    <t>https://www.ccpc.ie/information-for-businesses/guidance-for-businesses/consumer-protection-guidance/european-union-(empowering-consumers-for-the-green-transition)-regulations-2026</t>
  </si>
  <si>
    <t>Evidence alone does not make a broad claim acceptable. Obtain a wording review.</t>
  </si>
  <si>
    <t>Topics covered</t>
  </si>
  <si>
    <t>Packaging requirements</t>
  </si>
  <si>
    <t>Regulation (EU) 2025/40</t>
  </si>
  <si>
    <t>Packaged goods are relevant. Confirm the retailer role and individual duties.</t>
  </si>
  <si>
    <t>General application</t>
  </si>
  <si>
    <t>Map relevant requirements and build component-level evidence.</t>
  </si>
  <si>
    <t>European Commission</t>
  </si>
  <si>
    <t>https://environment.ec.europa.eu/news/new-eu-rules-packaging-enter-application-2026-08-11_en</t>
  </si>
  <si>
    <t>Implementation is phased. The general application date is not the start date of every labelling or recycled-content requirement.</t>
  </si>
  <si>
    <t>Deforestation and timber</t>
  </si>
  <si>
    <t>Regulation (EU) 2023/1115 as amended</t>
  </si>
  <si>
    <t>Screen timber panel and wooden chair by commodity code, role and business size.</t>
  </si>
  <si>
    <t>Conditional application</t>
  </si>
  <si>
    <t>Commercial and Sustainability</t>
  </si>
  <si>
    <t>Confirm scope, traceability needs and the applicable start date.</t>
  </si>
  <si>
    <t>https://environment.ec.europa.eu/topics/forests/deforestation/regulation-deforestation-free-products_en</t>
  </si>
  <si>
    <t>30-Dec-2026 applies to large/medium operators and small/micro operators already under EUTR. Other small/micro operators: 30-Jun-2027. A sourcing certificate alone is insufficient.</t>
  </si>
  <si>
    <t>Source checks due</t>
  </si>
  <si>
    <t>REG004</t>
  </si>
  <si>
    <t>Paint VOC content</t>
  </si>
  <si>
    <t>S.I. 564/2012 as amended</t>
  </si>
  <si>
    <t>Screen the paint product category and its specific VOC limit.</t>
  </si>
  <si>
    <t>Ongoing obligation</t>
  </si>
  <si>
    <t>Check technical sheet, product category and VOC labelling.</t>
  </si>
  <si>
    <t>EPA</t>
  </si>
  <si>
    <t>https://www.epa.ie/our-services/compliance--enforcement/air/decorative-paints/decorative-paints-regulations/</t>
  </si>
  <si>
    <t>Low VOC is a claim. The legal limit depends on the paint category; do not use one universal threshold.</t>
  </si>
  <si>
    <t>Lighting information</t>
  </si>
  <si>
    <t>Regulation (EU) 2019/2015</t>
  </si>
  <si>
    <t>Confirm whether the product is a light source or a containing product.</t>
  </si>
  <si>
    <t>Check model classification, applicable label and product information.</t>
  </si>
  <si>
    <t>SEAI</t>
  </si>
  <si>
    <t>https://www.seai.ie/plan-your-energy-journey/for-your-business/energy-efficient-products/energy-tyre-labelling-and-ecodesign/lighting-products</t>
  </si>
  <si>
    <t>Check EPREL and supplier model references where applicable. Energy labelling and ecodesign duties differ by role.</t>
  </si>
  <si>
    <t>Focused screening register for the sample products. Internal task due dates are in Actions. No legal-compliance conclusion is made from a completed task.</t>
  </si>
  <si>
    <t>Electrical waste take-back</t>
  </si>
  <si>
    <t>Irish WEEE obligations</t>
  </si>
  <si>
    <t>Relevant to the lighting product. Check importer as well as retailer duties.</t>
  </si>
  <si>
    <t>Check producer registration, take-back notices and collection records.</t>
  </si>
  <si>
    <t>https://www.epa.ie/our-services/compliance--enforcement/waste/weee/information-for-distributors-of-eee-and-batteries/</t>
  </si>
  <si>
    <t>Retailer duties include take-back and record keeping. Confirm the precise product and sales-channel requirements.</t>
  </si>
  <si>
    <t>Cost_ID</t>
  </si>
  <si>
    <t>Cost_Item</t>
  </si>
  <si>
    <t>Cost_Type</t>
  </si>
  <si>
    <t>Quantity</t>
  </si>
  <si>
    <t>Unit</t>
  </si>
  <si>
    <t>Rate_EUR</t>
  </si>
  <si>
    <t>Base_Cost_EUR</t>
  </si>
  <si>
    <t>Contingency_Rate</t>
  </si>
  <si>
    <t>Contingency_EUR</t>
  </si>
  <si>
    <t>Planned_Cost_EUR</t>
  </si>
  <si>
    <t>Actual_Cost_EUR</t>
  </si>
  <si>
    <t>Variance_EUR</t>
  </si>
  <si>
    <t>Estimate_Basis</t>
  </si>
  <si>
    <t>Cost assumptions</t>
  </si>
  <si>
    <t>C001</t>
  </si>
  <si>
    <t>Supplier evidence review</t>
  </si>
  <si>
    <t>Staff time</t>
  </si>
  <si>
    <t>hours</t>
  </si>
  <si>
    <t>Synthetic planning allowance; no supplier quote.</t>
  </si>
  <si>
    <t>Contingency allowance</t>
  </si>
  <si>
    <t>C002</t>
  </si>
  <si>
    <t>Packaging measurement</t>
  </si>
  <si>
    <t>Resource cost incl. contingency</t>
  </si>
  <si>
    <t>C003</t>
  </si>
  <si>
    <t>Environmental claim review</t>
  </si>
  <si>
    <t>Staff time incl. contingency</t>
  </si>
  <si>
    <t>C004</t>
  </si>
  <si>
    <t>Timber scope and traceability review</t>
  </si>
  <si>
    <t>Equipment incl. contingency</t>
  </si>
  <si>
    <t>C005</t>
  </si>
  <si>
    <t>Activity data reconciliation</t>
  </si>
  <si>
    <t>Actual amounts entered</t>
  </si>
  <si>
    <t>C006</t>
  </si>
  <si>
    <t>GHG inventory boundary review</t>
  </si>
  <si>
    <t>C007</t>
  </si>
  <si>
    <t>WEEE procedure review</t>
  </si>
  <si>
    <t>C008</t>
  </si>
  <si>
    <t>Lighting model review</t>
  </si>
  <si>
    <t>Staff time is an opportunity-cost allowance, not automatically additional cash spend. Equipment is a planning estimate. VAT, scheme fees, fines and mandatory tariffs are not modelled. Blank actuals mean unknown. No expenditure has been approved.</t>
  </si>
  <si>
    <t>C009</t>
  </si>
  <si>
    <t>Packaging obligations review</t>
  </si>
  <si>
    <t>C010</t>
  </si>
  <si>
    <t>Packaging weighing scale</t>
  </si>
  <si>
    <t>Equipment</t>
  </si>
  <si>
    <t>item</t>
  </si>
  <si>
    <t>Total resource cost</t>
  </si>
  <si>
    <t>About this project</t>
  </si>
  <si>
    <t>Purpose</t>
  </si>
  <si>
    <t>Build a sustainability readiness system for a fictional Irish DIY retailer. Track supplier evidence, products, packaging, environmental KPIs, regulatory topics, costs and corrective actions.</t>
  </si>
  <si>
    <t>Owner</t>
  </si>
  <si>
    <t>Sagar Malik. Portfolio demonstration inspired by the green colour direction of Woodie's. It is not a Woodie's operational workbook or an official brand template.</t>
  </si>
  <si>
    <t>Data boundary</t>
  </si>
  <si>
    <t>Five suppliers, five products, eight packaging components and one store with twelve months of 2025 activity. Existing activity and supplier inputs have been retained.</t>
  </si>
  <si>
    <t>Dashboard C4 is an editable snapshot date. It starts at 27-Sep-2026. Changing it updates due statuses. Legal sources were checked on 27-Sep-2026.</t>
  </si>
  <si>
    <t>Current evidence</t>
  </si>
  <si>
    <t>All five supplier claims remain Unverified. Descriptions such as technical sheet received are synthetic scenario text; no actual supplier documents were provided.</t>
  </si>
  <si>
    <t>Suppliers V4 counts records ready for approval divided by all supplier records. A claim needs verification, a real reference and current evidence before it is ready for a wording review.</t>
  </si>
  <si>
    <t>Packaging R4 counts component rows with usable keys, material, component, weight and volume. Completeness does not mean that weights are verified.</t>
  </si>
  <si>
    <t>Recycled material</t>
  </si>
  <si>
    <t>Verified recycled percentages stay blank until evidence confirms the percentage, packaging components and material source. Zero would mean a known absence of recycled content.</t>
  </si>
  <si>
    <t>Monthly calculations</t>
  </si>
  <si>
    <t>Energy use multiplied by the relevant kg CO2/kWh factor gives kg CO2. Annual recycling is recycled waste divided by total waste over the same year.</t>
  </si>
  <si>
    <t>Emissions boundary</t>
  </si>
  <si>
    <t>Current outputs are energy-related CO2 estimates. A full greenhouse-gas inventory needs a boundary, further sources and gases, and an appropriate electricity accounting method.</t>
  </si>
  <si>
    <t>Legal register</t>
  </si>
  <si>
    <t>Six screening topics are included for the sample products. Source dates, conditional application dates and internal tasks are kept separate. Scope and readiness require review.</t>
  </si>
  <si>
    <t>Costs</t>
  </si>
  <si>
    <t>Quantity multiplied by rate gives base cost. A shared 10% planning contingency is added. Staff time is included as a resource cost. Actual amounts are unknown.</t>
  </si>
  <si>
    <t>How to update</t>
  </si>
  <si>
    <t>Edit amber cells. Formula cells are pale green. Use dropdown values. Keep IDs unique. Record an evidence reference before changing a verification or closure decision.</t>
  </si>
  <si>
    <t>Adding records</t>
  </si>
  <si>
    <t>Add records inside the relevant Excel Table and fill its formulas. Supplier, product and packaging lookups/summaries allow rows 2 to 501. Extend fixed action, cost and monthly ranges when their record counts change.</t>
  </si>
  <si>
    <t>Date handling</t>
  </si>
  <si>
    <t>Dates are numeric Excel dates displayed as dd-mmm-yyyy or mmm-yyyy. Supplier requests dated 28-Sep-2026 show Scheduled when reviewed on 27-Sep-2026.</t>
  </si>
  <si>
    <t>Action closure</t>
  </si>
  <si>
    <t>A Closed status requires a completion date and a closure evidence reference. Supplier action fields read Suppliers, so update the source instead of overwriting links.</t>
  </si>
  <si>
    <t>Theme</t>
  </si>
  <si>
    <t>Forest green #245B36; leaf green #6D963D; pale green #EAF2E8; amber inputs #FFF2CC; red exceptions #FBE7E5. Arial provides a consistent font across cells and charts.</t>
  </si>
  <si>
    <t>Further explanation</t>
  </si>
  <si>
    <t>See ESG_Project_Walkthrough.docx for the build steps, formulas, sources, dashboard choices, testing and interview preparation.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</si>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</sst>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0.0%"/>
    <numFmt numFmtId="166" formatCode="mmm\-yyyy"/>
    <numFmt numFmtId="167" formatCode="0.0000"/>
    <numFmt numFmtId="168" formatCode="&quot;€&quot;#,##0.00"/>
    <numFmt numFmtId="169" formatCode="&quot;€&quot;#,##0"/>
  </numFmts>
  <fonts count="10">
    <font>
      <sz val="11"/>
      <name val="Carlito"/>
    </font>
    <font>
      <sz val="10"/>
      <color rgb="FF25352B"/>
      <name val="Arial"/>
      <family val="2"/>
    </font>
    <font>
      <sz val="10"/>
      <color rgb="FF607065"/>
      <name val="Arial"/>
      <family val="2"/>
    </font>
    <font>
      <b/>
      <sz val="18"/>
      <color rgb="FF245B36"/>
      <name val="Arial"/>
      <family val="2"/>
    </font>
    <font>
      <b/>
      <sz val="10"/>
      <color rgb="FFFFFFFF"/>
      <name val="Arial"/>
      <family val="2"/>
    </font>
    <font>
      <b/>
      <sz val="10"/>
      <color rgb="FF25352B"/>
      <name val="Arial"/>
      <family val="2"/>
    </font>
    <font>
      <b/>
      <sz val="11"/>
      <color rgb="FF245B36"/>
      <name val="Arial"/>
      <family val="2"/>
    </font>
    <font>
      <b/>
      <sz val="23"/>
      <color rgb="FF25352B"/>
      <name val="Arial"/>
      <family val="2"/>
    </font>
    <font>
      <b/>
      <sz val="10"/>
      <color rgb="FF607065"/>
      <name val="Arial"/>
      <family val="2"/>
    </font>
    <font>
      <b/>
      <sz val="15"/>
      <color rgb="FF245B3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3F5F2"/>
      </patternFill>
    </fill>
    <fill>
      <patternFill patternType="solid">
        <fgColor rgb="FF245B36"/>
      </patternFill>
    </fill>
    <fill>
      <patternFill patternType="solid">
        <fgColor rgb="FFEA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4" fontId="1" fillId="2" borderId="0" xfId="0" applyNumberFormat="1" applyFont="1" applyFill="1" applyAlignment="1">
      <alignment vertical="center" wrapText="1"/>
    </xf>
    <xf numFmtId="4" fontId="1" fillId="5" borderId="0" xfId="0" applyNumberFormat="1" applyFont="1" applyFill="1" applyAlignment="1">
      <alignment vertical="center" wrapText="1"/>
    </xf>
    <xf numFmtId="3" fontId="1" fillId="5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3" fontId="1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3" fontId="5" fillId="5" borderId="0" xfId="0" applyNumberFormat="1" applyFont="1" applyFill="1" applyAlignment="1">
      <alignment vertical="center"/>
    </xf>
    <xf numFmtId="4" fontId="1" fillId="5" borderId="0" xfId="0" applyNumberFormat="1" applyFont="1" applyFill="1" applyAlignment="1">
      <alignment vertical="center"/>
    </xf>
    <xf numFmtId="4" fontId="5" fillId="5" borderId="0" xfId="0" applyNumberFormat="1" applyFont="1" applyFill="1" applyAlignment="1">
      <alignment vertical="center"/>
    </xf>
    <xf numFmtId="165" fontId="1" fillId="5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167" fontId="1" fillId="2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3" borderId="0" xfId="0" applyNumberFormat="1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5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/>
    </xf>
    <xf numFmtId="168" fontId="1" fillId="2" borderId="0" xfId="0" applyNumberFormat="1" applyFont="1" applyFill="1" applyAlignment="1">
      <alignment vertical="center" wrapText="1"/>
    </xf>
    <xf numFmtId="168" fontId="1" fillId="5" borderId="0" xfId="0" applyNumberFormat="1" applyFont="1" applyFill="1" applyAlignment="1">
      <alignment vertical="center" wrapText="1"/>
    </xf>
    <xf numFmtId="165" fontId="1" fillId="5" borderId="0" xfId="0" applyNumberFormat="1" applyFont="1" applyFill="1" applyAlignment="1">
      <alignment vertical="center" wrapText="1"/>
    </xf>
    <xf numFmtId="169" fontId="1" fillId="0" borderId="0" xfId="0" applyNumberFormat="1" applyFont="1" applyAlignment="1">
      <alignment vertical="center"/>
    </xf>
    <xf numFmtId="168" fontId="5" fillId="5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center" wrapText="1"/>
    </xf>
    <xf numFmtId="0" fontId="0" fillId="5" borderId="0" xfId="0" applyFill="1"/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9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9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38"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25352B"/>
      </font>
      <fill>
        <patternFill patternType="solid">
          <bgColor rgb="FFFFF2CC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9E352B"/>
      </font>
      <fill>
        <patternFill patternType="solid">
          <bgColor rgb="FFFBE7E5"/>
        </patternFill>
      </fill>
    </dxf>
    <dxf>
      <font>
        <color rgb="FF9E352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E" sz="1050">
                <a:latin typeface="Arial"/>
                <a:ea typeface="Arial"/>
                <a:cs typeface="Arial"/>
              </a:rPr>
              <a:t>Monthly energy-related CO2 estimates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Electricity CO2 kg</c:v>
          </c:tx>
          <c:spPr>
            <a:ln w="19050">
              <a:solidFill>
                <a:srgbClr val="245B36"/>
              </a:solidFill>
              <a:prstDash val="solid"/>
            </a:ln>
          </c:spPr>
          <c:marker>
            <c:symbol val="none"/>
          </c:marker>
          <c:cat>
            <c:strRef>
              <c:f>ESG_Monthly!$U$2:$U$13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ESG_Monthly!$V$2:$V$13</c:f>
              <c:numCache>
                <c:formatCode>General</c:formatCode>
                <c:ptCount val="12"/>
                <c:pt idx="0">
                  <c:v>2373.6</c:v>
                </c:pt>
                <c:pt idx="1">
                  <c:v>2215.36</c:v>
                </c:pt>
                <c:pt idx="2">
                  <c:v>2136.2400000000002</c:v>
                </c:pt>
                <c:pt idx="3">
                  <c:v>2017.56</c:v>
                </c:pt>
                <c:pt idx="4">
                  <c:v>1978</c:v>
                </c:pt>
                <c:pt idx="5">
                  <c:v>1938.44</c:v>
                </c:pt>
                <c:pt idx="6">
                  <c:v>1978</c:v>
                </c:pt>
                <c:pt idx="7">
                  <c:v>1997.78</c:v>
                </c:pt>
                <c:pt idx="8">
                  <c:v>2096.6799999999998</c:v>
                </c:pt>
                <c:pt idx="9">
                  <c:v>2254.92</c:v>
                </c:pt>
                <c:pt idx="10">
                  <c:v>2413.16</c:v>
                </c:pt>
                <c:pt idx="11">
                  <c:v>2571.4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E-4700-A2EA-288F776ADA5E}"/>
            </c:ext>
          </c:extLst>
        </c:ser>
        <c:ser>
          <c:idx val="1"/>
          <c:order val="1"/>
          <c:tx>
            <c:v>Gas CO2 kg</c:v>
          </c:tx>
          <c:spPr>
            <a:ln w="19050">
              <a:solidFill>
                <a:srgbClr val="6D963D"/>
              </a:solidFill>
              <a:prstDash val="dash"/>
            </a:ln>
          </c:spPr>
          <c:marker>
            <c:symbol val="none"/>
          </c:marker>
          <c:cat>
            <c:strRef>
              <c:f>ESG_Monthly!$U$2:$U$13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ESG_Monthly!$W$2:$W$13</c:f>
              <c:numCache>
                <c:formatCode>General</c:formatCode>
                <c:ptCount val="12"/>
                <c:pt idx="0">
                  <c:v>3303</c:v>
                </c:pt>
                <c:pt idx="1">
                  <c:v>2936</c:v>
                </c:pt>
                <c:pt idx="2">
                  <c:v>2385.5</c:v>
                </c:pt>
                <c:pt idx="3">
                  <c:v>1651.5</c:v>
                </c:pt>
                <c:pt idx="4">
                  <c:v>917.5</c:v>
                </c:pt>
                <c:pt idx="5">
                  <c:v>458.75</c:v>
                </c:pt>
                <c:pt idx="6">
                  <c:v>275.25</c:v>
                </c:pt>
                <c:pt idx="7">
                  <c:v>275.25</c:v>
                </c:pt>
                <c:pt idx="8">
                  <c:v>734</c:v>
                </c:pt>
                <c:pt idx="9">
                  <c:v>1468</c:v>
                </c:pt>
                <c:pt idx="10">
                  <c:v>2385.5</c:v>
                </c:pt>
                <c:pt idx="11">
                  <c:v>3119.5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E-4700-A2EA-288F776AD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E" sz="1050">
                <a:latin typeface="Arial"/>
                <a:ea typeface="Arial"/>
                <a:cs typeface="Arial"/>
              </a:rPr>
              <a:t>Packaging weight by material (kg)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kg</c:v>
          </c:tx>
          <c:spPr>
            <a:solidFill>
              <a:srgbClr val="245B36"/>
            </a:solidFill>
          </c:spPr>
          <c:invertIfNegative val="1"/>
          <c:cat>
            <c:strRef>
              <c:f>Packaging!$Q$11:$Q$12</c:f>
              <c:strCache>
                <c:ptCount val="2"/>
                <c:pt idx="0">
                  <c:v>Plastic</c:v>
                </c:pt>
                <c:pt idx="1">
                  <c:v>Cardboard</c:v>
                </c:pt>
              </c:strCache>
            </c:strRef>
          </c:cat>
          <c:val>
            <c:numRef>
              <c:f>Packaging!$R$11:$R$12</c:f>
              <c:numCache>
                <c:formatCode>#,##0</c:formatCode>
                <c:ptCount val="2"/>
                <c:pt idx="0">
                  <c:v>1692</c:v>
                </c:pt>
                <c:pt idx="1">
                  <c:v>1440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105-4598-983D-2962C9F50B0D}"/>
            </c:ext>
          </c:extLst>
        </c:ser>
        <c:ser>
          <c:idx val="1"/>
          <c:order val="1"/>
          <c:tx>
            <c:v>Chart zero baseline</c:v>
          </c:tx>
          <c:spPr>
            <a:solidFill>
              <a:srgbClr val="FFFFFF"/>
            </a:solidFill>
          </c:spPr>
          <c:invertIfNegative val="1"/>
          <c:cat>
            <c:strRef>
              <c:f>Packaging!$Q$11:$Q$12</c:f>
              <c:strCache>
                <c:ptCount val="2"/>
                <c:pt idx="0">
                  <c:v>Plastic</c:v>
                </c:pt>
                <c:pt idx="1">
                  <c:v>Cardboard</c:v>
                </c:pt>
              </c:strCache>
            </c:strRef>
          </c:cat>
          <c:val>
            <c:numRef>
              <c:f>Packaging!$S$11:$S$12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8105-4598-983D-2962C9F50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ActionsData" displayName="ActionsData" ref="A1:O14" totalsRowShown="0">
  <autoFilter ref="A1:O14" xr:uid="{00000000-0009-0000-0100-000006000000}"/>
  <tableColumns count="15">
    <tableColumn id="1" xr3:uid="{00000000-0010-0000-0000-000001000000}" name="Action_ID"/>
    <tableColumn id="2" xr3:uid="{00000000-0010-0000-0000-000002000000}" name="Topic"/>
    <tableColumn id="3" xr3:uid="{00000000-0010-0000-0000-000003000000}" name="Linked_ID"/>
    <tableColumn id="4" xr3:uid="{00000000-0010-0000-0000-000004000000}" name="Action"/>
    <tableColumn id="5" xr3:uid="{00000000-0010-0000-0000-000005000000}" name="Internal_Owner"/>
    <tableColumn id="6" xr3:uid="{00000000-0010-0000-0000-000006000000}" name="Priority"/>
    <tableColumn id="7" xr3:uid="{00000000-0010-0000-0000-000007000000}" name="Start_Date"/>
    <tableColumn id="8" xr3:uid="{00000000-0010-0000-0000-000008000000}" name="Due_Date"/>
    <tableColumn id="9" xr3:uid="{00000000-0010-0000-0000-000009000000}" name="Status"/>
    <tableColumn id="10" xr3:uid="{00000000-0010-0000-0000-00000A000000}" name="Completion_Date"/>
    <tableColumn id="11" xr3:uid="{00000000-0010-0000-0000-00000B000000}" name="Closure_Evidence"/>
    <tableColumn id="12" xr3:uid="{00000000-0010-0000-0000-00000C000000}" name="Due_Status"/>
    <tableColumn id="13" xr3:uid="{00000000-0010-0000-0000-00000D000000}" name="Days_Overdue"/>
    <tableColumn id="14" xr3:uid="{00000000-0010-0000-0000-00000E000000}" name="Closure_Check"/>
    <tableColumn id="15" xr3:uid="{00000000-0010-0000-0000-00000F000000}" name="Data_Typ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S6" totalsRowShown="0">
  <autoFilter ref="A1:S6" xr:uid="{00000000-0009-0000-0100-000001000000}"/>
  <tableColumns count="19">
    <tableColumn id="1" xr3:uid="{00000000-0010-0000-0100-000001000000}" name="Supplier_ID"/>
    <tableColumn id="2" xr3:uid="{00000000-0010-0000-0100-000002000000}" name="Supplier_Name"/>
    <tableColumn id="3" xr3:uid="{00000000-0010-0000-0100-000003000000}" name="Supplier_Country"/>
    <tableColumn id="4" xr3:uid="{00000000-0010-0000-0100-000004000000}" name="Main_Category"/>
    <tableColumn id="5" xr3:uid="{00000000-0010-0000-0100-000005000000}" name="Internal_Owner"/>
    <tableColumn id="6" xr3:uid="{00000000-0010-0000-0100-000006000000}" name="Data_Type"/>
    <tableColumn id="7" xr3:uid="{00000000-0010-0000-0100-000007000000}" name="Sustainability_Claim"/>
    <tableColumn id="8" xr3:uid="{00000000-0010-0000-0100-000008000000}" name="Evidence_Status"/>
    <tableColumn id="9" xr3:uid="{00000000-0010-0000-0100-000009000000}" name="Verification_Status"/>
    <tableColumn id="10" xr3:uid="{00000000-0010-0000-0100-00000A000000}" name="Next_Action"/>
    <tableColumn id="11" xr3:uid="{00000000-0010-0000-0100-00000B000000}" name="Request_Date"/>
    <tableColumn id="12" xr3:uid="{00000000-0010-0000-0100-00000C000000}" name="Due_Date"/>
    <tableColumn id="13" xr3:uid="{00000000-0010-0000-0100-00000D000000}" name="Follow_Up_Status"/>
    <tableColumn id="14" xr3:uid="{00000000-0010-0000-0100-00000E000000}" name="Evidence_Reference"/>
    <tableColumn id="15" xr3:uid="{00000000-0010-0000-0100-00000F000000}" name="Review_Notes"/>
    <tableColumn id="16" xr3:uid="{00000000-0010-0000-0100-000010000000}" name="Due_Status"/>
    <tableColumn id="17" xr3:uid="{00000000-0010-0000-0100-000011000000}" name="Priority"/>
    <tableColumn id="18" xr3:uid="{00000000-0010-0000-0100-000012000000}" name="Priority_Reason"/>
    <tableColumn id="19" xr3:uid="{00000000-0010-0000-0100-000013000000}" name="Claim_Use_Statu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oductsData" displayName="ProductsData" ref="A1:H6" totalsRowShown="0">
  <autoFilter ref="A1:H6" xr:uid="{00000000-0009-0000-0100-000002000000}"/>
  <tableColumns count="8">
    <tableColumn id="1" xr3:uid="{00000000-0010-0000-0200-000001000000}" name="Product_ID"/>
    <tableColumn id="2" xr3:uid="{00000000-0010-0000-0200-000002000000}" name="Supplier_ID"/>
    <tableColumn id="3" xr3:uid="{00000000-0010-0000-0200-000003000000}" name="Product_Name"/>
    <tableColumn id="4" xr3:uid="{00000000-0010-0000-0200-000004000000}" name="Category"/>
    <tableColumn id="5" xr3:uid="{00000000-0010-0000-0200-000005000000}" name="Units_Sold_2025"/>
    <tableColumn id="6" xr3:uid="{00000000-0010-0000-0200-000006000000}" name="Data_Type"/>
    <tableColumn id="7" xr3:uid="{00000000-0010-0000-0200-000007000000}" name="Supplier_Name"/>
    <tableColumn id="8" xr3:uid="{00000000-0010-0000-0200-000008000000}" name="Supplier_Link_Statu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PackagingData" displayName="PackagingData" ref="A1:O9" totalsRowShown="0">
  <autoFilter ref="A1:O9" xr:uid="{00000000-0009-0000-0100-000003000000}"/>
  <tableColumns count="15">
    <tableColumn id="1" xr3:uid="{00000000-0010-0000-0300-000001000000}" name="Packaging_ID"/>
    <tableColumn id="2" xr3:uid="{00000000-0010-0000-0300-000002000000}" name="Product_ID"/>
    <tableColumn id="3" xr3:uid="{00000000-0010-0000-0300-000003000000}" name="Component"/>
    <tableColumn id="4" xr3:uid="{00000000-0010-0000-0300-000004000000}" name="Material"/>
    <tableColumn id="5" xr3:uid="{00000000-0010-0000-0300-000005000000}" name="Estimated_Weight_g_Per_Unit"/>
    <tableColumn id="6" xr3:uid="{00000000-0010-0000-0300-000006000000}" name="Evidence_Status"/>
    <tableColumn id="7" xr3:uid="{00000000-0010-0000-0300-000007000000}" name="Data_Type"/>
    <tableColumn id="8" xr3:uid="{00000000-0010-0000-0300-000008000000}" name="Units_Sold_2025"/>
    <tableColumn id="9" xr3:uid="{00000000-0010-0000-0300-000009000000}" name="Annual_Packaging_kg"/>
    <tableColumn id="10" xr3:uid="{00000000-0010-0000-0300-00000A000000}" name="Verified_Recycled_Content"/>
    <tableColumn id="11" xr3:uid="{00000000-0010-0000-0300-00000B000000}" name="Recycled_Material_Source"/>
    <tableColumn id="12" xr3:uid="{00000000-0010-0000-0300-00000C000000}" name="Recycled_Evidence_Reference"/>
    <tableColumn id="13" xr3:uid="{00000000-0010-0000-0300-00000D000000}" name="Recycled_Verification"/>
    <tableColumn id="14" xr3:uid="{00000000-0010-0000-0300-00000E000000}" name="Weight_Record_Status"/>
    <tableColumn id="15" xr3:uid="{00000000-0010-0000-0300-00000F000000}" name="Weight_Evidence_Referenc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onthlyData" displayName="MonthlyData" ref="A1:K13" totalsRowShown="0">
  <autoFilter ref="A1:K13" xr:uid="{00000000-0009-0000-0100-000004000000}"/>
  <tableColumns count="11">
    <tableColumn id="1" xr3:uid="{00000000-0010-0000-0400-000001000000}" name="Month"/>
    <tableColumn id="2" xr3:uid="{00000000-0010-0000-0400-000002000000}" name="Site_ID"/>
    <tableColumn id="3" xr3:uid="{00000000-0010-0000-0400-000003000000}" name="Electricity_kWh"/>
    <tableColumn id="4" xr3:uid="{00000000-0010-0000-0400-000004000000}" name="Gas_kWh_GCV"/>
    <tableColumn id="5" xr3:uid="{00000000-0010-0000-0400-000005000000}" name="Total_Waste_kg"/>
    <tableColumn id="6" xr3:uid="{00000000-0010-0000-0400-000006000000}" name="Recycled_Waste_kg"/>
    <tableColumn id="7" xr3:uid="{00000000-0010-0000-0400-000007000000}" name="Data_Type"/>
    <tableColumn id="8" xr3:uid="{00000000-0010-0000-0400-000008000000}" name="Electricity_CO2_kg"/>
    <tableColumn id="9" xr3:uid="{00000000-0010-0000-0400-000009000000}" name="Gas_CO2_kg"/>
    <tableColumn id="10" xr3:uid="{00000000-0010-0000-0400-00000A000000}" name="Recycling_Rate"/>
    <tableColumn id="11" xr3:uid="{00000000-0010-0000-0400-00000B000000}" name="Record_Statu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RegulationsData" displayName="RegulationsData" ref="A1:Q7" totalsRowShown="0">
  <autoFilter ref="A1:Q7" xr:uid="{00000000-0009-0000-0100-000005000000}"/>
  <tableColumns count="17">
    <tableColumn id="1" xr3:uid="{00000000-0010-0000-0500-000001000000}" name="Regulation_ID"/>
    <tableColumn id="2" xr3:uid="{00000000-0010-0000-0500-000002000000}" name="Topic"/>
    <tableColumn id="3" xr3:uid="{00000000-0010-0000-0500-000003000000}" name="Framework"/>
    <tableColumn id="4" xr3:uid="{00000000-0010-0000-0500-000004000000}" name="Applicability_to_Demo"/>
    <tableColumn id="5" xr3:uid="{00000000-0010-0000-0500-000005000000}" name="Milestone_Type"/>
    <tableColumn id="6" xr3:uid="{00000000-0010-0000-0500-000006000000}" name="Application_Date"/>
    <tableColumn id="7" xr3:uid="{00000000-0010-0000-0500-000007000000}" name="Internal_Owner"/>
    <tableColumn id="8" xr3:uid="{00000000-0010-0000-0500-000008000000}" name="Required_Action"/>
    <tableColumn id="9" xr3:uid="{00000000-0010-0000-0500-000009000000}" name="Readiness_Status"/>
    <tableColumn id="10" xr3:uid="{00000000-0010-0000-0500-00000A000000}" name="Action_ID"/>
    <tableColumn id="11" xr3:uid="{00000000-0010-0000-0500-00000B000000}" name="Source"/>
    <tableColumn id="12" xr3:uid="{00000000-0010-0000-0500-00000C000000}" name="Source_URL"/>
    <tableColumn id="13" xr3:uid="{00000000-0010-0000-0500-00000D000000}" name="Checked_On"/>
    <tableColumn id="14" xr3:uid="{00000000-0010-0000-0500-00000E000000}" name="Next_Source_Review"/>
    <tableColumn id="15" xr3:uid="{00000000-0010-0000-0500-00000F000000}" name="Date_Status"/>
    <tableColumn id="16" xr3:uid="{00000000-0010-0000-0500-000010000000}" name="Days_to_Application"/>
    <tableColumn id="17" xr3:uid="{00000000-0010-0000-0500-000011000000}" name="Scope_Not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stsData" displayName="CostsData" ref="A1:O11" totalsRowShown="0">
  <autoFilter ref="A1:O11" xr:uid="{00000000-0009-0000-0100-000007000000}"/>
  <tableColumns count="15">
    <tableColumn id="1" xr3:uid="{00000000-0010-0000-0600-000001000000}" name="Cost_ID"/>
    <tableColumn id="2" xr3:uid="{00000000-0010-0000-0600-000002000000}" name="Action_ID"/>
    <tableColumn id="3" xr3:uid="{00000000-0010-0000-0600-000003000000}" name="Cost_Item"/>
    <tableColumn id="4" xr3:uid="{00000000-0010-0000-0600-000004000000}" name="Cost_Type"/>
    <tableColumn id="5" xr3:uid="{00000000-0010-0000-0600-000005000000}" name="Quantity"/>
    <tableColumn id="6" xr3:uid="{00000000-0010-0000-0600-000006000000}" name="Unit"/>
    <tableColumn id="7" xr3:uid="{00000000-0010-0000-0600-000007000000}" name="Rate_EUR"/>
    <tableColumn id="8" xr3:uid="{00000000-0010-0000-0600-000008000000}" name="Base_Cost_EUR"/>
    <tableColumn id="9" xr3:uid="{00000000-0010-0000-0600-000009000000}" name="Contingency_Rate"/>
    <tableColumn id="10" xr3:uid="{00000000-0010-0000-0600-00000A000000}" name="Contingency_EUR"/>
    <tableColumn id="11" xr3:uid="{00000000-0010-0000-0600-00000B000000}" name="Planned_Cost_EUR"/>
    <tableColumn id="12" xr3:uid="{00000000-0010-0000-0600-00000C000000}" name="Actual_Cost_EUR"/>
    <tableColumn id="13" xr3:uid="{00000000-0010-0000-0600-00000D000000}" name="Variance_EUR"/>
    <tableColumn id="14" xr3:uid="{00000000-0010-0000-0600-00000E000000}" name="Estimate_Basis"/>
    <tableColumn id="15" xr3:uid="{00000000-0010-0000-0600-00000F000000}" name="Internal_Own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5B36"/>
  </sheetPr>
  <dimension ref="A1:N45"/>
  <sheetViews>
    <sheetView showGridLines="0" tabSelected="1" workbookViewId="0">
      <selection activeCell="J12" sqref="J12"/>
    </sheetView>
  </sheetViews>
  <sheetFormatPr defaultRowHeight="13.8"/>
  <cols>
    <col min="1" max="14" width="10.5" customWidth="1"/>
  </cols>
  <sheetData>
    <row r="1" spans="1:14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.9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22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ht="22.95" customHeight="1">
      <c r="A4" s="40" t="s">
        <v>2</v>
      </c>
      <c r="B4" s="40"/>
      <c r="C4" s="41">
        <v>46292</v>
      </c>
      <c r="D4" s="42"/>
      <c r="E4" s="1"/>
      <c r="F4" s="40" t="s">
        <v>3</v>
      </c>
      <c r="G4" s="40"/>
      <c r="H4" s="40"/>
      <c r="I4" s="40"/>
      <c r="J4" s="40"/>
      <c r="K4" s="40"/>
      <c r="L4" s="40"/>
      <c r="M4" s="40"/>
      <c r="N4" s="40"/>
    </row>
    <row r="5" spans="1:14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.95" customHeight="1">
      <c r="A6" s="43" t="s">
        <v>4</v>
      </c>
      <c r="B6" s="43"/>
      <c r="C6" s="43"/>
      <c r="D6" s="43"/>
      <c r="E6" s="1"/>
      <c r="F6" s="43" t="s">
        <v>5</v>
      </c>
      <c r="G6" s="43"/>
      <c r="H6" s="43"/>
      <c r="I6" s="43"/>
      <c r="J6" s="1"/>
      <c r="K6" s="43" t="s">
        <v>6</v>
      </c>
      <c r="L6" s="43"/>
      <c r="M6" s="43"/>
      <c r="N6" s="43"/>
    </row>
    <row r="7" spans="1:14" ht="22.95" customHeight="1">
      <c r="A7" s="44">
        <f>Suppliers!V4</f>
        <v>0</v>
      </c>
      <c r="B7" s="44"/>
      <c r="C7" s="44"/>
      <c r="D7" s="44"/>
      <c r="E7" s="1"/>
      <c r="F7" s="45">
        <f>Suppliers!V5</f>
        <v>3</v>
      </c>
      <c r="G7" s="45"/>
      <c r="H7" s="45"/>
      <c r="I7" s="45"/>
      <c r="J7" s="1"/>
      <c r="K7" s="45">
        <f>Actions!R5</f>
        <v>0</v>
      </c>
      <c r="L7" s="45"/>
      <c r="M7" s="45"/>
      <c r="N7" s="45"/>
    </row>
    <row r="8" spans="1:14" ht="22.95" customHeight="1">
      <c r="A8" s="44"/>
      <c r="B8" s="44"/>
      <c r="C8" s="44"/>
      <c r="D8" s="44"/>
      <c r="E8" s="1"/>
      <c r="F8" s="45"/>
      <c r="G8" s="45"/>
      <c r="H8" s="45"/>
      <c r="I8" s="45"/>
      <c r="J8" s="1"/>
      <c r="K8" s="45"/>
      <c r="L8" s="45"/>
      <c r="M8" s="45"/>
      <c r="N8" s="45"/>
    </row>
    <row r="9" spans="1:14" ht="22.95" customHeight="1">
      <c r="A9" s="40" t="s">
        <v>7</v>
      </c>
      <c r="B9" s="40"/>
      <c r="C9" s="40"/>
      <c r="D9" s="40"/>
      <c r="E9" s="1"/>
      <c r="F9" s="40" t="s">
        <v>8</v>
      </c>
      <c r="G9" s="40"/>
      <c r="H9" s="40"/>
      <c r="I9" s="40"/>
      <c r="J9" s="1"/>
      <c r="K9" s="40" t="s">
        <v>9</v>
      </c>
      <c r="L9" s="40"/>
      <c r="M9" s="40"/>
      <c r="N9" s="40"/>
    </row>
    <row r="10" spans="1:14" ht="22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2.95" customHeight="1">
      <c r="A11" s="43" t="s">
        <v>10</v>
      </c>
      <c r="B11" s="43"/>
      <c r="C11" s="43"/>
      <c r="D11" s="43"/>
      <c r="E11" s="1"/>
      <c r="F11" s="43" t="s">
        <v>11</v>
      </c>
      <c r="G11" s="43"/>
      <c r="H11" s="43"/>
      <c r="I11" s="43"/>
      <c r="J11" s="1"/>
      <c r="K11" s="43" t="s">
        <v>12</v>
      </c>
      <c r="L11" s="43"/>
      <c r="M11" s="43"/>
      <c r="N11" s="43"/>
    </row>
    <row r="12" spans="1:14" ht="22.95" customHeight="1">
      <c r="A12" s="46">
        <f>ESG_Monthly!J14</f>
        <v>0.696198347107438</v>
      </c>
      <c r="B12" s="46"/>
      <c r="C12" s="46"/>
      <c r="D12" s="46"/>
      <c r="E12" s="1"/>
      <c r="F12" s="47">
        <f>Packaging!R6</f>
        <v>3132</v>
      </c>
      <c r="G12" s="47"/>
      <c r="H12" s="47"/>
      <c r="I12" s="47"/>
      <c r="J12" s="1"/>
      <c r="K12" s="48">
        <f>Costs!K12</f>
        <v>3806</v>
      </c>
      <c r="L12" s="48"/>
      <c r="M12" s="48"/>
      <c r="N12" s="48"/>
    </row>
    <row r="13" spans="1:14" ht="22.95" customHeight="1">
      <c r="A13" s="46"/>
      <c r="B13" s="46"/>
      <c r="C13" s="46"/>
      <c r="D13" s="46"/>
      <c r="E13" s="1"/>
      <c r="F13" s="47"/>
      <c r="G13" s="47"/>
      <c r="H13" s="47"/>
      <c r="I13" s="47"/>
      <c r="J13" s="1"/>
      <c r="K13" s="48"/>
      <c r="L13" s="48"/>
      <c r="M13" s="48"/>
      <c r="N13" s="48"/>
    </row>
    <row r="14" spans="1:14" ht="22.95" customHeight="1">
      <c r="A14" s="40" t="s">
        <v>13</v>
      </c>
      <c r="B14" s="40"/>
      <c r="C14" s="40"/>
      <c r="D14" s="40"/>
      <c r="E14" s="1"/>
      <c r="F14" s="40" t="s">
        <v>14</v>
      </c>
      <c r="G14" s="40"/>
      <c r="H14" s="40"/>
      <c r="I14" s="40"/>
      <c r="J14" s="1"/>
      <c r="K14" s="40" t="s">
        <v>15</v>
      </c>
      <c r="L14" s="40"/>
      <c r="M14" s="40"/>
      <c r="N14" s="40"/>
    </row>
    <row r="15" spans="1:14" ht="22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2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2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2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2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2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2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2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2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2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2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42" customHeight="1">
      <c r="A33" s="4" t="s">
        <v>16</v>
      </c>
      <c r="B33" s="4" t="s">
        <v>17</v>
      </c>
      <c r="C33" s="4" t="s">
        <v>18</v>
      </c>
      <c r="D33" s="4" t="s">
        <v>19</v>
      </c>
      <c r="E33" s="1"/>
      <c r="F33" s="49" t="s">
        <v>20</v>
      </c>
      <c r="G33" s="49"/>
      <c r="H33" s="49"/>
      <c r="I33" s="49"/>
      <c r="J33" s="49"/>
      <c r="K33" s="49"/>
      <c r="L33" s="49"/>
      <c r="M33" s="49"/>
      <c r="N33" s="49"/>
    </row>
    <row r="34" spans="1:14" ht="22.95" customHeight="1">
      <c r="A34" s="1" t="s">
        <v>21</v>
      </c>
      <c r="B34" s="1">
        <f>COUNTIFS(Actions!$F$2:$F$14, A34, Actions!$L$2:$L$14, "&lt;&gt;Closed")</f>
        <v>7</v>
      </c>
      <c r="C34" s="1">
        <f>COUNTIFS(Actions!$F$2:$F$14, A34, Actions!$L$2:$L$14, "Overdue")</f>
        <v>0</v>
      </c>
      <c r="D34" s="1">
        <f>COUNTIFS(Actions!$F$2:$F$14, A34, Actions!$L$2:$L$14, "Closed")</f>
        <v>0</v>
      </c>
      <c r="E34" s="1"/>
      <c r="F34" s="40" t="s">
        <v>22</v>
      </c>
      <c r="G34" s="40"/>
      <c r="H34" s="40"/>
      <c r="I34" s="40"/>
      <c r="J34" s="40"/>
      <c r="K34" s="40"/>
      <c r="L34" s="50">
        <f>IF(ISNUMBER(ESG_Monthly!H14), ESG_Monthly!H14 / 1000, "Incomplete")</f>
        <v>25.971140000000002</v>
      </c>
      <c r="M34" s="50"/>
      <c r="N34" s="50"/>
    </row>
    <row r="35" spans="1:14" ht="22.95" customHeight="1">
      <c r="A35" s="1" t="s">
        <v>23</v>
      </c>
      <c r="B35" s="1">
        <f>COUNTIFS(Actions!$F$2:$F$14, A35, Actions!$L$2:$L$14, "&lt;&gt;Closed")</f>
        <v>6</v>
      </c>
      <c r="C35" s="1">
        <f>COUNTIFS(Actions!$F$2:$F$14, A35, Actions!$L$2:$L$14, "Overdue")</f>
        <v>0</v>
      </c>
      <c r="D35" s="1">
        <f>COUNTIFS(Actions!$F$2:$F$14, A35, Actions!$L$2:$L$14, "Closed")</f>
        <v>0</v>
      </c>
      <c r="E35" s="1"/>
      <c r="F35" s="40" t="s">
        <v>24</v>
      </c>
      <c r="G35" s="40"/>
      <c r="H35" s="40"/>
      <c r="I35" s="40"/>
      <c r="J35" s="40"/>
      <c r="K35" s="40"/>
      <c r="L35" s="50">
        <f>IF(ISNUMBER(ESG_Monthly!I14), ESG_Monthly!I14 / 1000, "Incomplete")</f>
        <v>19.909749999999999</v>
      </c>
      <c r="M35" s="50"/>
      <c r="N35" s="50"/>
    </row>
    <row r="36" spans="1:14" ht="22.95" customHeight="1">
      <c r="A36" s="1" t="s">
        <v>25</v>
      </c>
      <c r="B36" s="1">
        <f>COUNTIFS(Actions!$F$2:$F$14, A36, Actions!$L$2:$L$14, "&lt;&gt;Closed")</f>
        <v>0</v>
      </c>
      <c r="C36" s="1">
        <f>COUNTIFS(Actions!$F$2:$F$14, A36, Actions!$L$2:$L$14, "Overdue")</f>
        <v>0</v>
      </c>
      <c r="D36" s="1">
        <f>COUNTIFS(Actions!$F$2:$F$14, A36, Actions!$L$2:$L$14, "Closed")</f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2.95" customHeight="1">
      <c r="A37" s="1"/>
      <c r="B37" s="1"/>
      <c r="C37" s="1"/>
      <c r="D37" s="1"/>
      <c r="E37" s="1"/>
      <c r="F37" s="40" t="s">
        <v>26</v>
      </c>
      <c r="G37" s="40"/>
      <c r="H37" s="40"/>
      <c r="I37" s="40"/>
      <c r="J37" s="40"/>
      <c r="K37" s="40"/>
      <c r="L37" s="40"/>
      <c r="M37" s="40"/>
      <c r="N37" s="40"/>
    </row>
    <row r="38" spans="1:14" ht="22.95" customHeight="1">
      <c r="A38" s="40" t="s">
        <v>27</v>
      </c>
      <c r="B38" s="40"/>
      <c r="C38" s="40"/>
      <c r="D38" s="40"/>
      <c r="E38" s="1"/>
      <c r="F38" s="40"/>
      <c r="G38" s="40"/>
      <c r="H38" s="40"/>
      <c r="I38" s="40"/>
      <c r="J38" s="40"/>
      <c r="K38" s="40"/>
      <c r="L38" s="40"/>
      <c r="M38" s="40"/>
      <c r="N38" s="40"/>
    </row>
    <row r="39" spans="1:14" ht="22.95" customHeight="1">
      <c r="A39" s="40"/>
      <c r="B39" s="40"/>
      <c r="C39" s="40"/>
      <c r="D39" s="40"/>
      <c r="E39" s="1"/>
      <c r="F39" s="40"/>
      <c r="G39" s="40"/>
      <c r="H39" s="40"/>
      <c r="I39" s="40"/>
      <c r="J39" s="40"/>
      <c r="K39" s="40"/>
      <c r="L39" s="40"/>
      <c r="M39" s="40"/>
      <c r="N39" s="40"/>
    </row>
    <row r="40" spans="1:14" ht="22.95" customHeight="1">
      <c r="A40" s="40"/>
      <c r="B40" s="40"/>
      <c r="C40" s="40"/>
      <c r="D40" s="40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2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2.95" customHeight="1">
      <c r="A42" s="40" t="s">
        <v>28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1:14" ht="22.9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</row>
    <row r="44" spans="1:14" ht="22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2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31">
    <mergeCell ref="F37:N39"/>
    <mergeCell ref="A38:D40"/>
    <mergeCell ref="A42:N43"/>
    <mergeCell ref="F33:N33"/>
    <mergeCell ref="F34:K34"/>
    <mergeCell ref="L34:N34"/>
    <mergeCell ref="F35:K35"/>
    <mergeCell ref="L35:N35"/>
    <mergeCell ref="A14:D14"/>
    <mergeCell ref="F11:I11"/>
    <mergeCell ref="F12:I13"/>
    <mergeCell ref="F14:I14"/>
    <mergeCell ref="K11:N11"/>
    <mergeCell ref="K12:N13"/>
    <mergeCell ref="K14:N14"/>
    <mergeCell ref="K6:N6"/>
    <mergeCell ref="K7:N8"/>
    <mergeCell ref="K9:N9"/>
    <mergeCell ref="A11:D11"/>
    <mergeCell ref="A12:D13"/>
    <mergeCell ref="A6:D6"/>
    <mergeCell ref="A7:D8"/>
    <mergeCell ref="A9:D9"/>
    <mergeCell ref="F6:I6"/>
    <mergeCell ref="F7:I8"/>
    <mergeCell ref="F9:I9"/>
    <mergeCell ref="A2:N2"/>
    <mergeCell ref="A3:N3"/>
    <mergeCell ref="A4:B4"/>
    <mergeCell ref="C4:D4"/>
    <mergeCell ref="F4:N4"/>
  </mergeCells>
  <conditionalFormatting sqref="A7:D8">
    <cfRule type="cellIs" dxfId="37" priority="1" operator="lessThan">
      <formula>1</formula>
    </cfRule>
  </conditionalFormatting>
  <conditionalFormatting sqref="K7:N8">
    <cfRule type="cellIs" dxfId="36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D963D"/>
  </sheetPr>
  <dimension ref="A1:R22"/>
  <sheetViews>
    <sheetView showGridLines="0" workbookViewId="0">
      <pane xSplit="2" ySplit="1" topLeftCell="C14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6" customWidth="1"/>
    <col min="2" max="2" width="24" customWidth="1"/>
    <col min="3" max="3" width="17" customWidth="1"/>
    <col min="4" max="4" width="65" customWidth="1"/>
    <col min="5" max="5" width="30" customWidth="1"/>
    <col min="6" max="6" width="17" customWidth="1"/>
    <col min="7" max="8" width="19" customWidth="1"/>
    <col min="9" max="9" width="25" customWidth="1"/>
    <col min="10" max="10" width="23" customWidth="1"/>
    <col min="11" max="11" width="45" customWidth="1"/>
    <col min="12" max="12" width="26" customWidth="1"/>
    <col min="13" max="13" width="20" customWidth="1"/>
    <col min="14" max="14" width="31" customWidth="1"/>
    <col min="15" max="15" width="17" customWidth="1"/>
    <col min="16" max="16" width="3" customWidth="1"/>
    <col min="17" max="17" width="31" customWidth="1"/>
    <col min="18" max="18" width="19" customWidth="1"/>
  </cols>
  <sheetData>
    <row r="1" spans="1:18" ht="42" customHeight="1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1"/>
      <c r="Q1" s="4" t="s">
        <v>44</v>
      </c>
      <c r="R1" s="4" t="s">
        <v>45</v>
      </c>
    </row>
    <row r="2" spans="1:18" ht="52.05" customHeight="1">
      <c r="A2" s="5" t="s">
        <v>46</v>
      </c>
      <c r="B2" s="5" t="s">
        <v>47</v>
      </c>
      <c r="C2" s="5" t="s">
        <v>48</v>
      </c>
      <c r="D2" s="7" t="str">
        <f>_xlfn.XLOOKUP(C2, Suppliers!$A$2:$A$501, Suppliers!$J$2:$J$501, "Check supplier ID")</f>
        <v>Request sourcing certificate and documents linking it to the supplied timber</v>
      </c>
      <c r="E2" s="7" t="str">
        <f>_xlfn.XLOOKUP(C2, Suppliers!$A$2:$A$501, Suppliers!$E$2:$E$501, "Check supplier ID")</f>
        <v>Garden Category Manager</v>
      </c>
      <c r="F2" s="7" t="str">
        <f>_xlfn.XLOOKUP(C2, Suppliers!$A$2:$A$501, Suppliers!$Q$2:$Q$501, "Check supplier ID")</f>
        <v>High</v>
      </c>
      <c r="G2" s="29">
        <f>_xlfn.XLOOKUP(C2, Suppliers!$A$2:$A$501, Suppliers!$K$2:$K$501, "Check supplier ID")</f>
        <v>46293</v>
      </c>
      <c r="H2" s="29">
        <f>_xlfn.XLOOKUP(C2, Suppliers!$A$2:$A$501, Suppliers!$L$2:$L$501, "Check supplier ID")</f>
        <v>46307</v>
      </c>
      <c r="I2" s="7" t="str">
        <f>_xlfn.XLOOKUP(C2, Suppliers!$A$2:$A$501, Suppliers!$M$2:$M$501, "Check supplier ID")</f>
        <v>Awaiting response</v>
      </c>
      <c r="J2" s="8"/>
      <c r="K2" s="6"/>
      <c r="L2" s="7" t="str">
        <f>_xlfn.IFS(
    I2 = "", "Missing status",
    AND(I2 = "Closed", N2 &lt;&gt; "Complete"), "Closure incomplete",
    I2 = "Closed", "Closed",
    H2 = "", "Missing deadline",
    G2 &gt; Dashboard!$C$4, "Scheduled",
    Dashboard!$C$4 &gt; H2, "Overdue",
    Dashboard!$C$4 = H2, "Due today",
    H2 - Dashboard!$C$4 &lt;= 7, "Due soon",
    TRUE, "Within deadline"
)</f>
        <v>Scheduled</v>
      </c>
      <c r="M2" s="7">
        <f>IF(L2 = "Overdue", Dashboard!$C$4 - H2, 0)</f>
        <v>0</v>
      </c>
      <c r="N2" s="7" t="str">
        <f t="shared" ref="N2:N14" si="0">IF(I2 &lt;&gt; "Closed", "Open", IF(OR(J2 = "", K2 = "", K2 = "Not provided"), "Missing closure evidence", "Complete"))</f>
        <v>Open</v>
      </c>
      <c r="O2" s="5" t="s">
        <v>49</v>
      </c>
      <c r="P2" s="1"/>
      <c r="Q2" s="1" t="s">
        <v>50</v>
      </c>
      <c r="R2" s="1">
        <f>COUNTA(A2:A14)</f>
        <v>13</v>
      </c>
    </row>
    <row r="3" spans="1:18" ht="52.05" customHeight="1">
      <c r="A3" s="2" t="s">
        <v>51</v>
      </c>
      <c r="B3" s="2" t="s">
        <v>47</v>
      </c>
      <c r="C3" s="2" t="s">
        <v>52</v>
      </c>
      <c r="D3" s="7" t="str">
        <f>_xlfn.XLOOKUP(C3, Suppliers!$A$2:$A$501, Suppliers!$J$2:$J$501, "Check supplier ID")</f>
        <v>Check the stated VOC content and which paint products the document covers</v>
      </c>
      <c r="E3" s="7" t="str">
        <f>_xlfn.XLOOKUP(C3, Suppliers!$A$2:$A$501, Suppliers!$E$2:$E$501, "Check supplier ID")</f>
        <v>Paint Category Manager</v>
      </c>
      <c r="F3" s="7" t="str">
        <f>_xlfn.XLOOKUP(C3, Suppliers!$A$2:$A$501, Suppliers!$Q$2:$Q$501, "Check supplier ID")</f>
        <v>Medium</v>
      </c>
      <c r="G3" s="29">
        <f>_xlfn.XLOOKUP(C3, Suppliers!$A$2:$A$501, Suppliers!$K$2:$K$501, "Check supplier ID")</f>
        <v>46293</v>
      </c>
      <c r="H3" s="29">
        <f>_xlfn.XLOOKUP(C3, Suppliers!$A$2:$A$501, Suppliers!$L$2:$L$501, "Check supplier ID")</f>
        <v>46307</v>
      </c>
      <c r="I3" s="7" t="str">
        <f>_xlfn.XLOOKUP(C3, Suppliers!$A$2:$A$501, Suppliers!$M$2:$M$501, "Check supplier ID")</f>
        <v>Under review</v>
      </c>
      <c r="J3" s="8"/>
      <c r="K3" s="6"/>
      <c r="L3" s="7" t="str">
        <f>_xlfn.IFS(
    I3 = "", "Missing status",
    AND(I3 = "Closed", N3 &lt;&gt; "Complete"), "Closure incomplete",
    I3 = "Closed", "Closed",
    H3 = "", "Missing deadline",
    G3 &gt; Dashboard!$C$4, "Scheduled",
    Dashboard!$C$4 &gt; H3, "Overdue",
    Dashboard!$C$4 = H3, "Due today",
    H3 - Dashboard!$C$4 &lt;= 7, "Due soon",
    TRUE, "Within deadline"
)</f>
        <v>Scheduled</v>
      </c>
      <c r="M3" s="7">
        <f>IF(L3 = "Overdue", Dashboard!$C$4 - H3, 0)</f>
        <v>0</v>
      </c>
      <c r="N3" s="7" t="str">
        <f t="shared" si="0"/>
        <v>Open</v>
      </c>
      <c r="O3" s="2" t="s">
        <v>49</v>
      </c>
      <c r="P3" s="1"/>
      <c r="Q3" s="1" t="s">
        <v>53</v>
      </c>
      <c r="R3" s="1">
        <f>COUNTIFS(L2:L14, "Closed")</f>
        <v>0</v>
      </c>
    </row>
    <row r="4" spans="1:18" ht="52.05" customHeight="1">
      <c r="A4" s="5" t="s">
        <v>54</v>
      </c>
      <c r="B4" s="5" t="s">
        <v>47</v>
      </c>
      <c r="C4" s="5" t="s">
        <v>55</v>
      </c>
      <c r="D4" s="7" t="str">
        <f>_xlfn.XLOOKUP(C4, Suppliers!$A$2:$A$501, Suppliers!$J$2:$J$501, "Check supplier ID")</f>
        <v>Request model-specific energy performance evidence and check it against the claim</v>
      </c>
      <c r="E4" s="7" t="str">
        <f>_xlfn.XLOOKUP(C4, Suppliers!$A$2:$A$501, Suppliers!$E$2:$E$501, "Check supplier ID")</f>
        <v>Lighting Category Manager</v>
      </c>
      <c r="F4" s="7" t="str">
        <f>_xlfn.XLOOKUP(C4, Suppliers!$A$2:$A$501, Suppliers!$Q$2:$Q$501, "Check supplier ID")</f>
        <v>Medium</v>
      </c>
      <c r="G4" s="29">
        <f>_xlfn.XLOOKUP(C4, Suppliers!$A$2:$A$501, Suppliers!$K$2:$K$501, "Check supplier ID")</f>
        <v>46293</v>
      </c>
      <c r="H4" s="29">
        <f>_xlfn.XLOOKUP(C4, Suppliers!$A$2:$A$501, Suppliers!$L$2:$L$501, "Check supplier ID")</f>
        <v>46307</v>
      </c>
      <c r="I4" s="7" t="str">
        <f>_xlfn.XLOOKUP(C4, Suppliers!$A$2:$A$501, Suppliers!$M$2:$M$501, "Check supplier ID")</f>
        <v>Awaiting response</v>
      </c>
      <c r="J4" s="8"/>
      <c r="K4" s="6"/>
      <c r="L4" s="7" t="str">
        <f>_xlfn.IFS(
    I4 = "", "Missing status",
    AND(I4 = "Closed", N4 &lt;&gt; "Complete"), "Closure incomplete",
    I4 = "Closed", "Closed",
    H4 = "", "Missing deadline",
    G4 &gt; Dashboard!$C$4, "Scheduled",
    Dashboard!$C$4 &gt; H4, "Overdue",
    Dashboard!$C$4 = H4, "Due today",
    H4 - Dashboard!$C$4 &lt;= 7, "Due soon",
    TRUE, "Within deadline"
)</f>
        <v>Scheduled</v>
      </c>
      <c r="M4" s="7">
        <f>IF(L4 = "Overdue", Dashboard!$C$4 - H4, 0)</f>
        <v>0</v>
      </c>
      <c r="N4" s="7" t="str">
        <f t="shared" si="0"/>
        <v>Open</v>
      </c>
      <c r="O4" s="5" t="s">
        <v>49</v>
      </c>
      <c r="P4" s="1"/>
      <c r="Q4" s="1" t="s">
        <v>56</v>
      </c>
      <c r="R4" s="1">
        <f>R2 - R3</f>
        <v>13</v>
      </c>
    </row>
    <row r="5" spans="1:18" ht="52.05" customHeight="1">
      <c r="A5" s="2" t="s">
        <v>57</v>
      </c>
      <c r="B5" s="2" t="s">
        <v>47</v>
      </c>
      <c r="C5" s="2" t="s">
        <v>58</v>
      </c>
      <c r="D5" s="7" t="str">
        <f>_xlfn.XLOOKUP(C5, Suppliers!$A$2:$A$501, Suppliers!$J$2:$J$501, "Check supplier ID")</f>
        <v>Request evidence supporting the 80% recycled-content claim, confirm which packaging components it covers, and ask where the recycled material is sourced.</v>
      </c>
      <c r="E5" s="7" t="str">
        <f>_xlfn.XLOOKUP(C5, Suppliers!$A$2:$A$501, Suppliers!$E$2:$E$501, "Check supplier ID")</f>
        <v>Tools Category Manager</v>
      </c>
      <c r="F5" s="7" t="str">
        <f>_xlfn.XLOOKUP(C5, Suppliers!$A$2:$A$501, Suppliers!$Q$2:$Q$501, "Check supplier ID")</f>
        <v>High</v>
      </c>
      <c r="G5" s="29">
        <f>_xlfn.XLOOKUP(C5, Suppliers!$A$2:$A$501, Suppliers!$K$2:$K$501, "Check supplier ID")</f>
        <v>46293</v>
      </c>
      <c r="H5" s="29">
        <f>_xlfn.XLOOKUP(C5, Suppliers!$A$2:$A$501, Suppliers!$L$2:$L$501, "Check supplier ID")</f>
        <v>46307</v>
      </c>
      <c r="I5" s="7" t="str">
        <f>_xlfn.XLOOKUP(C5, Suppliers!$A$2:$A$501, Suppliers!$M$2:$M$501, "Check supplier ID")</f>
        <v>Awaiting response</v>
      </c>
      <c r="J5" s="8"/>
      <c r="K5" s="6"/>
      <c r="L5" s="7" t="str">
        <f>_xlfn.IFS(
    I5 = "", "Missing status",
    AND(I5 = "Closed", N5 &lt;&gt; "Complete"), "Closure incomplete",
    I5 = "Closed", "Closed",
    H5 = "", "Missing deadline",
    G5 &gt; Dashboard!$C$4, "Scheduled",
    Dashboard!$C$4 &gt; H5, "Overdue",
    Dashboard!$C$4 = H5, "Due today",
    H5 - Dashboard!$C$4 &lt;= 7, "Due soon",
    TRUE, "Within deadline"
)</f>
        <v>Scheduled</v>
      </c>
      <c r="M5" s="7">
        <f>IF(L5 = "Overdue", Dashboard!$C$4 - H5, 0)</f>
        <v>0</v>
      </c>
      <c r="N5" s="7" t="str">
        <f t="shared" si="0"/>
        <v>Open</v>
      </c>
      <c r="O5" s="2" t="s">
        <v>49</v>
      </c>
      <c r="P5" s="1"/>
      <c r="Q5" s="1" t="s">
        <v>18</v>
      </c>
      <c r="R5" s="1">
        <f>COUNTIFS(L2:L14, "Overdue")</f>
        <v>0</v>
      </c>
    </row>
    <row r="6" spans="1:18" ht="52.05" customHeight="1">
      <c r="A6" s="5" t="s">
        <v>59</v>
      </c>
      <c r="B6" s="5" t="s">
        <v>47</v>
      </c>
      <c r="C6" s="5" t="s">
        <v>60</v>
      </c>
      <c r="D6" s="7" t="str">
        <f>_xlfn.XLOOKUP(C6, Suppliers!$A$2:$A$501, Suppliers!$J$2:$J$501, "Check supplier ID")</f>
        <v>Request a current certificate and check that it covers the relevant supplier and timber products</v>
      </c>
      <c r="E6" s="7" t="str">
        <f>_xlfn.XLOOKUP(C6, Suppliers!$A$2:$A$501, Suppliers!$E$2:$E$501, "Check supplier ID")</f>
        <v>Garden Category Manager</v>
      </c>
      <c r="F6" s="7" t="str">
        <f>_xlfn.XLOOKUP(C6, Suppliers!$A$2:$A$501, Suppliers!$Q$2:$Q$501, "Check supplier ID")</f>
        <v>High</v>
      </c>
      <c r="G6" s="29">
        <f>_xlfn.XLOOKUP(C6, Suppliers!$A$2:$A$501, Suppliers!$K$2:$K$501, "Check supplier ID")</f>
        <v>46293</v>
      </c>
      <c r="H6" s="29">
        <f>_xlfn.XLOOKUP(C6, Suppliers!$A$2:$A$501, Suppliers!$L$2:$L$501, "Check supplier ID")</f>
        <v>46307</v>
      </c>
      <c r="I6" s="7" t="str">
        <f>_xlfn.XLOOKUP(C6, Suppliers!$A$2:$A$501, Suppliers!$M$2:$M$501, "Check supplier ID")</f>
        <v>Awaiting response</v>
      </c>
      <c r="J6" s="8"/>
      <c r="K6" s="6"/>
      <c r="L6" s="7" t="str">
        <f>_xlfn.IFS(
    I6 = "", "Missing status",
    AND(I6 = "Closed", N6 &lt;&gt; "Complete"), "Closure incomplete",
    I6 = "Closed", "Closed",
    H6 = "", "Missing deadline",
    G6 &gt; Dashboard!$C$4, "Scheduled",
    Dashboard!$C$4 &gt; H6, "Overdue",
    Dashboard!$C$4 = H6, "Due today",
    H6 - Dashboard!$C$4 &lt;= 7, "Due soon",
    TRUE, "Within deadline"
)</f>
        <v>Scheduled</v>
      </c>
      <c r="M6" s="7">
        <f>IF(L6 = "Overdue", Dashboard!$C$4 - H6, 0)</f>
        <v>0</v>
      </c>
      <c r="N6" s="7" t="str">
        <f t="shared" si="0"/>
        <v>Open</v>
      </c>
      <c r="O6" s="5" t="s">
        <v>49</v>
      </c>
      <c r="P6" s="1"/>
      <c r="Q6" s="1" t="s">
        <v>61</v>
      </c>
      <c r="R6" s="1">
        <f>COUNTIFS(L2:L14, "Due soon") + COUNTIFS(L2:L14, "Due today")</f>
        <v>1</v>
      </c>
    </row>
    <row r="7" spans="1:18" ht="52.05" customHeight="1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23</v>
      </c>
      <c r="G7" s="8">
        <v>46293</v>
      </c>
      <c r="H7" s="8">
        <v>46311</v>
      </c>
      <c r="I7" s="6" t="s">
        <v>67</v>
      </c>
      <c r="J7" s="8"/>
      <c r="K7" s="6"/>
      <c r="L7" s="7" t="str">
        <f>_xlfn.IFS(
    I7 = "", "Missing status",
    AND(I7 = "Closed", N7 &lt;&gt; "Complete"), "Closure incomplete",
    I7 = "Closed", "Closed",
    H7 = "", "Missing deadline",
    G7 &gt; Dashboard!$C$4, "Scheduled",
    Dashboard!$C$4 &gt; H7, "Overdue",
    Dashboard!$C$4 = H7, "Due today",
    H7 - Dashboard!$C$4 &lt;= 7, "Due soon",
    TRUE, "Within deadline"
)</f>
        <v>Scheduled</v>
      </c>
      <c r="M7" s="7">
        <f>IF(L7 = "Overdue", Dashboard!$C$4 - H7, 0)</f>
        <v>0</v>
      </c>
      <c r="N7" s="7" t="str">
        <f t="shared" si="0"/>
        <v>Open</v>
      </c>
      <c r="O7" s="2" t="s">
        <v>49</v>
      </c>
      <c r="P7" s="1"/>
      <c r="Q7" s="1" t="s">
        <v>68</v>
      </c>
      <c r="R7" s="1">
        <f>COUNTIFS(L2:L14, "Closure incomplete")</f>
        <v>0</v>
      </c>
    </row>
    <row r="8" spans="1:18" ht="52.05" customHeight="1">
      <c r="A8" s="5" t="s">
        <v>69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21</v>
      </c>
      <c r="G8" s="8">
        <v>46292</v>
      </c>
      <c r="H8" s="8">
        <v>46295</v>
      </c>
      <c r="I8" s="6" t="s">
        <v>67</v>
      </c>
      <c r="J8" s="8"/>
      <c r="K8" s="6"/>
      <c r="L8" s="7" t="str">
        <f>_xlfn.IFS(
    I8 = "", "Missing status",
    AND(I8 = "Closed", N8 &lt;&gt; "Complete"), "Closure incomplete",
    I8 = "Closed", "Closed",
    H8 = "", "Missing deadline",
    G8 &gt; Dashboard!$C$4, "Scheduled",
    Dashboard!$C$4 &gt; H8, "Overdue",
    Dashboard!$C$4 = H8, "Due today",
    H8 - Dashboard!$C$4 &lt;= 7, "Due soon",
    TRUE, "Within deadline"
)</f>
        <v>Due soon</v>
      </c>
      <c r="M8" s="7">
        <f>IF(L8 = "Overdue", Dashboard!$C$4 - H8, 0)</f>
        <v>0</v>
      </c>
      <c r="N8" s="7" t="str">
        <f t="shared" si="0"/>
        <v>Open</v>
      </c>
      <c r="O8" s="5" t="s">
        <v>49</v>
      </c>
      <c r="P8" s="1"/>
      <c r="Q8" s="1"/>
      <c r="R8" s="1"/>
    </row>
    <row r="9" spans="1:18" ht="52.05" customHeight="1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21</v>
      </c>
      <c r="G9" s="8">
        <v>46293</v>
      </c>
      <c r="H9" s="8">
        <v>46304</v>
      </c>
      <c r="I9" s="6" t="s">
        <v>67</v>
      </c>
      <c r="J9" s="8"/>
      <c r="K9" s="6"/>
      <c r="L9" s="7" t="str">
        <f>_xlfn.IFS(
    I9 = "", "Missing status",
    AND(I9 = "Closed", N9 &lt;&gt; "Complete"), "Closure incomplete",
    I9 = "Closed", "Closed",
    H9 = "", "Missing deadline",
    G9 &gt; Dashboard!$C$4, "Scheduled",
    Dashboard!$C$4 &gt; H9, "Overdue",
    Dashboard!$C$4 = H9, "Due today",
    H9 - Dashboard!$C$4 &lt;= 7, "Due soon",
    TRUE, "Within deadline"
)</f>
        <v>Scheduled</v>
      </c>
      <c r="M9" s="7">
        <f>IF(L9 = "Overdue", Dashboard!$C$4 - H9, 0)</f>
        <v>0</v>
      </c>
      <c r="N9" s="7" t="str">
        <f t="shared" si="0"/>
        <v>Open</v>
      </c>
      <c r="O9" s="2" t="s">
        <v>49</v>
      </c>
      <c r="P9" s="1"/>
      <c r="Q9" s="1"/>
      <c r="R9" s="1"/>
    </row>
    <row r="10" spans="1:18" ht="52.05" customHeight="1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23</v>
      </c>
      <c r="G10" s="8">
        <v>46293</v>
      </c>
      <c r="H10" s="8">
        <v>46318</v>
      </c>
      <c r="I10" s="6" t="s">
        <v>67</v>
      </c>
      <c r="J10" s="8"/>
      <c r="K10" s="6"/>
      <c r="L10" s="7" t="str">
        <f>_xlfn.IFS(
    I10 = "", "Missing status",
    AND(I10 = "Closed", N10 &lt;&gt; "Complete"), "Closure incomplete",
    I10 = "Closed", "Closed",
    H10 = "", "Missing deadline",
    G10 &gt; Dashboard!$C$4, "Scheduled",
    Dashboard!$C$4 &gt; H10, "Overdue",
    Dashboard!$C$4 = H10, "Due today",
    H10 - Dashboard!$C$4 &lt;= 7, "Due soon",
    TRUE, "Within deadline"
)</f>
        <v>Scheduled</v>
      </c>
      <c r="M10" s="7">
        <f>IF(L10 = "Overdue", Dashboard!$C$4 - H10, 0)</f>
        <v>0</v>
      </c>
      <c r="N10" s="7" t="str">
        <f t="shared" si="0"/>
        <v>Open</v>
      </c>
      <c r="O10" s="5" t="s">
        <v>49</v>
      </c>
      <c r="P10" s="1"/>
      <c r="Q10" s="40" t="s">
        <v>84</v>
      </c>
      <c r="R10" s="40"/>
    </row>
    <row r="11" spans="1:18" ht="52.05" customHeight="1">
      <c r="A11" s="2" t="s">
        <v>85</v>
      </c>
      <c r="B11" s="2" t="s">
        <v>86</v>
      </c>
      <c r="C11" s="2" t="s">
        <v>81</v>
      </c>
      <c r="D11" s="2" t="s">
        <v>87</v>
      </c>
      <c r="E11" s="2" t="s">
        <v>78</v>
      </c>
      <c r="F11" s="2" t="s">
        <v>23</v>
      </c>
      <c r="G11" s="8">
        <v>46293</v>
      </c>
      <c r="H11" s="8">
        <v>46318</v>
      </c>
      <c r="I11" s="6" t="s">
        <v>67</v>
      </c>
      <c r="J11" s="8"/>
      <c r="K11" s="6"/>
      <c r="L11" s="7" t="str">
        <f>_xlfn.IFS(
    I11 = "", "Missing status",
    AND(I11 = "Closed", N11 &lt;&gt; "Complete"), "Closure incomplete",
    I11 = "Closed", "Closed",
    H11 = "", "Missing deadline",
    G11 &gt; Dashboard!$C$4, "Scheduled",
    Dashboard!$C$4 &gt; H11, "Overdue",
    Dashboard!$C$4 = H11, "Due today",
    H11 - Dashboard!$C$4 &lt;= 7, "Due soon",
    TRUE, "Within deadline"
)</f>
        <v>Scheduled</v>
      </c>
      <c r="M11" s="7">
        <f>IF(L11 = "Overdue", Dashboard!$C$4 - H11, 0)</f>
        <v>0</v>
      </c>
      <c r="N11" s="7" t="str">
        <f t="shared" si="0"/>
        <v>Open</v>
      </c>
      <c r="O11" s="2" t="s">
        <v>49</v>
      </c>
      <c r="P11" s="1"/>
      <c r="Q11" s="40"/>
      <c r="R11" s="40"/>
    </row>
    <row r="12" spans="1:18" ht="52.05" customHeight="1">
      <c r="A12" s="5" t="s">
        <v>88</v>
      </c>
      <c r="B12" s="5" t="s">
        <v>89</v>
      </c>
      <c r="C12" s="5" t="s">
        <v>90</v>
      </c>
      <c r="D12" s="5" t="s">
        <v>91</v>
      </c>
      <c r="E12" s="5" t="s">
        <v>92</v>
      </c>
      <c r="F12" s="5" t="s">
        <v>21</v>
      </c>
      <c r="G12" s="8">
        <v>46293</v>
      </c>
      <c r="H12" s="8">
        <v>46297</v>
      </c>
      <c r="I12" s="6" t="s">
        <v>67</v>
      </c>
      <c r="J12" s="8"/>
      <c r="K12" s="6"/>
      <c r="L12" s="7" t="str">
        <f>_xlfn.IFS(
    I12 = "", "Missing status",
    AND(I12 = "Closed", N12 &lt;&gt; "Complete"), "Closure incomplete",
    I12 = "Closed", "Closed",
    H12 = "", "Missing deadline",
    G12 &gt; Dashboard!$C$4, "Scheduled",
    Dashboard!$C$4 &gt; H12, "Overdue",
    Dashboard!$C$4 = H12, "Due today",
    H12 - Dashboard!$C$4 &lt;= 7, "Due soon",
    TRUE, "Within deadline"
)</f>
        <v>Scheduled</v>
      </c>
      <c r="M12" s="7">
        <f>IF(L12 = "Overdue", Dashboard!$C$4 - H12, 0)</f>
        <v>0</v>
      </c>
      <c r="N12" s="7" t="str">
        <f t="shared" si="0"/>
        <v>Open</v>
      </c>
      <c r="O12" s="5" t="s">
        <v>49</v>
      </c>
      <c r="P12" s="1"/>
      <c r="Q12" s="40"/>
      <c r="R12" s="40"/>
    </row>
    <row r="13" spans="1:18" ht="52.05" customHeight="1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23</v>
      </c>
      <c r="G13" s="8">
        <v>46293</v>
      </c>
      <c r="H13" s="8">
        <v>46304</v>
      </c>
      <c r="I13" s="6" t="s">
        <v>67</v>
      </c>
      <c r="J13" s="8"/>
      <c r="K13" s="6"/>
      <c r="L13" s="7" t="str">
        <f>_xlfn.IFS(
    I13 = "", "Missing status",
    AND(I13 = "Closed", N13 &lt;&gt; "Complete"), "Closure incomplete",
    I13 = "Closed", "Closed",
    H13 = "", "Missing deadline",
    G13 &gt; Dashboard!$C$4, "Scheduled",
    Dashboard!$C$4 &gt; H13, "Overdue",
    Dashboard!$C$4 = H13, "Due today",
    H13 - Dashboard!$C$4 &lt;= 7, "Due soon",
    TRUE, "Within deadline"
)</f>
        <v>Scheduled</v>
      </c>
      <c r="M13" s="7">
        <f>IF(L13 = "Overdue", Dashboard!$C$4 - H13, 0)</f>
        <v>0</v>
      </c>
      <c r="N13" s="7" t="str">
        <f t="shared" si="0"/>
        <v>Open</v>
      </c>
      <c r="O13" s="2" t="s">
        <v>49</v>
      </c>
      <c r="P13" s="1"/>
      <c r="Q13" s="40"/>
      <c r="R13" s="40"/>
    </row>
    <row r="14" spans="1:18" ht="52.05" customHeight="1">
      <c r="A14" s="5" t="s">
        <v>98</v>
      </c>
      <c r="B14" s="5" t="s">
        <v>99</v>
      </c>
      <c r="C14" s="5" t="s">
        <v>100</v>
      </c>
      <c r="D14" s="5" t="s">
        <v>101</v>
      </c>
      <c r="E14" s="5" t="s">
        <v>78</v>
      </c>
      <c r="F14" s="5" t="s">
        <v>21</v>
      </c>
      <c r="G14" s="8">
        <v>46293</v>
      </c>
      <c r="H14" s="8">
        <v>46297</v>
      </c>
      <c r="I14" s="6" t="s">
        <v>67</v>
      </c>
      <c r="J14" s="8"/>
      <c r="K14" s="6"/>
      <c r="L14" s="7" t="str">
        <f>_xlfn.IFS(
    I14 = "", "Missing status",
    AND(I14 = "Closed", N14 &lt;&gt; "Complete"), "Closure incomplete",
    I14 = "Closed", "Closed",
    H14 = "", "Missing deadline",
    G14 &gt; Dashboard!$C$4, "Scheduled",
    Dashboard!$C$4 &gt; H14, "Overdue",
    Dashboard!$C$4 = H14, "Due today",
    H14 - Dashboard!$C$4 &lt;= 7, "Due soon",
    TRUE, "Within deadline"
)</f>
        <v>Scheduled</v>
      </c>
      <c r="M14" s="7">
        <f>IF(L14 = "Overdue", Dashboard!$C$4 - H14, 0)</f>
        <v>0</v>
      </c>
      <c r="N14" s="7" t="str">
        <f t="shared" si="0"/>
        <v>Open</v>
      </c>
      <c r="O14" s="5" t="s">
        <v>49</v>
      </c>
      <c r="P14" s="1"/>
      <c r="Q14" s="40"/>
      <c r="R14" s="40"/>
    </row>
    <row r="15" spans="1:18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1">
    <mergeCell ref="Q10:R14"/>
  </mergeCells>
  <conditionalFormatting sqref="F2:F501">
    <cfRule type="containsText" dxfId="35" priority="1" operator="containsText" text="Overdue"/>
    <cfRule type="containsText" dxfId="34" priority="2" operator="containsText" text="Missing"/>
    <cfRule type="containsText" dxfId="33" priority="6" operator="containsText" text="Check"/>
    <cfRule type="containsText" dxfId="32" priority="7" operator="containsText" text="Not assessed"/>
  </conditionalFormatting>
  <conditionalFormatting sqref="L2:N501">
    <cfRule type="containsText" dxfId="31" priority="9" operator="containsText" text="Overdue"/>
    <cfRule type="containsText" dxfId="30" priority="10" operator="containsText" text="Missing"/>
    <cfRule type="containsText" dxfId="29" priority="14" operator="containsText" text="Check"/>
    <cfRule type="containsText" dxfId="28" priority="15" operator="containsText" text="Not assessed"/>
  </conditionalFormatting>
  <dataValidations count="2">
    <dataValidation type="list" sqref="I7:I501" xr:uid="{00000000-0002-0000-0100-000000000000}">
      <formula1>"Not started,Awaiting response,Under review,In progress,Closed"</formula1>
    </dataValidation>
    <dataValidation type="list" sqref="F7:F501" xr:uid="{00000000-0002-0000-01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963D"/>
  </sheetPr>
  <dimension ref="A1:V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4" customWidth="1"/>
    <col min="2" max="2" width="28" customWidth="1"/>
    <col min="3" max="3" width="17" customWidth="1"/>
    <col min="4" max="4" width="23" customWidth="1"/>
    <col min="5" max="5" width="27" customWidth="1"/>
    <col min="6" max="6" width="14" customWidth="1"/>
    <col min="7" max="7" width="40" customWidth="1"/>
    <col min="8" max="8" width="41" customWidth="1"/>
    <col min="9" max="9" width="20" customWidth="1"/>
    <col min="10" max="10" width="62" customWidth="1"/>
    <col min="11" max="12" width="17" customWidth="1"/>
    <col min="13" max="13" width="23" customWidth="1"/>
    <col min="14" max="14" width="26" customWidth="1"/>
    <col min="15" max="15" width="57" customWidth="1"/>
    <col min="16" max="16" width="24" customWidth="1"/>
    <col min="17" max="17" width="16" customWidth="1"/>
    <col min="18" max="18" width="51" customWidth="1"/>
    <col min="19" max="19" width="29" customWidth="1"/>
    <col min="20" max="20" width="3" customWidth="1"/>
    <col min="21" max="21" width="31" customWidth="1"/>
    <col min="22" max="22" width="19" customWidth="1"/>
  </cols>
  <sheetData>
    <row r="1" spans="1:22" ht="42" customHeight="1">
      <c r="A1" s="4" t="s">
        <v>102</v>
      </c>
      <c r="B1" s="4" t="s">
        <v>103</v>
      </c>
      <c r="C1" s="4" t="s">
        <v>104</v>
      </c>
      <c r="D1" s="4" t="s">
        <v>105</v>
      </c>
      <c r="E1" s="4" t="s">
        <v>33</v>
      </c>
      <c r="F1" s="4" t="s">
        <v>43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36</v>
      </c>
      <c r="M1" s="4" t="s">
        <v>111</v>
      </c>
      <c r="N1" s="4" t="s">
        <v>112</v>
      </c>
      <c r="O1" s="4" t="s">
        <v>113</v>
      </c>
      <c r="P1" s="4" t="s">
        <v>40</v>
      </c>
      <c r="Q1" s="4" t="s">
        <v>34</v>
      </c>
      <c r="R1" s="4" t="s">
        <v>114</v>
      </c>
      <c r="S1" s="4" t="s">
        <v>115</v>
      </c>
      <c r="T1" s="1"/>
      <c r="U1" s="4" t="s">
        <v>116</v>
      </c>
      <c r="V1" s="4" t="s">
        <v>45</v>
      </c>
    </row>
    <row r="2" spans="1:22" ht="61.95" customHeight="1">
      <c r="A2" s="5" t="s">
        <v>48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49</v>
      </c>
      <c r="G2" s="5" t="s">
        <v>121</v>
      </c>
      <c r="H2" s="5" t="s">
        <v>122</v>
      </c>
      <c r="I2" s="6" t="s">
        <v>123</v>
      </c>
      <c r="J2" s="5" t="s">
        <v>124</v>
      </c>
      <c r="K2" s="8">
        <v>46293</v>
      </c>
      <c r="L2" s="8">
        <v>46307</v>
      </c>
      <c r="M2" s="6" t="s">
        <v>125</v>
      </c>
      <c r="N2" s="6" t="s">
        <v>126</v>
      </c>
      <c r="O2" s="6" t="s">
        <v>127</v>
      </c>
      <c r="P2" s="7" t="str">
        <f>_xlfn.IFS(
    M2 &lt;&gt; "Awaiting response", "",
    L2 = "", "Missing deadline",
    K2 &gt; Dashboard!$C$4, "Scheduled",
    Dashboard!$C$4 &gt; L2, "Overdue",
    TRUE, "Within deadline"
)</f>
        <v>Scheduled</v>
      </c>
      <c r="Q2" s="6" t="s">
        <v>21</v>
      </c>
      <c r="R2" s="6" t="s">
        <v>128</v>
      </c>
      <c r="S2" s="7" t="str">
        <f>_xlfn.IFS(
    I2 &lt;&gt; "Verified", "Hold claim",
    OR(N2 = "", N2 = "Not provided", N2 = "Demo document pending"), "Evidence reference missing",
    H2 = "Expired certificate", "Current evidence needed",
    TRUE, "Ready for approval"
)</f>
        <v>Hold claim</v>
      </c>
      <c r="T2" s="1"/>
      <c r="U2" s="1" t="s">
        <v>129</v>
      </c>
      <c r="V2" s="1">
        <f>COUNTA(A2:A501)</f>
        <v>5</v>
      </c>
    </row>
    <row r="3" spans="1:22" ht="61.95" customHeight="1">
      <c r="A3" s="2" t="s">
        <v>52</v>
      </c>
      <c r="B3" s="2" t="s">
        <v>130</v>
      </c>
      <c r="C3" s="2" t="s">
        <v>131</v>
      </c>
      <c r="D3" s="2" t="s">
        <v>132</v>
      </c>
      <c r="E3" s="2" t="s">
        <v>133</v>
      </c>
      <c r="F3" s="2" t="s">
        <v>49</v>
      </c>
      <c r="G3" s="2" t="s">
        <v>134</v>
      </c>
      <c r="H3" s="2" t="s">
        <v>135</v>
      </c>
      <c r="I3" s="6" t="s">
        <v>123</v>
      </c>
      <c r="J3" s="2" t="s">
        <v>136</v>
      </c>
      <c r="K3" s="8">
        <v>46293</v>
      </c>
      <c r="L3" s="8">
        <v>46307</v>
      </c>
      <c r="M3" s="6" t="s">
        <v>137</v>
      </c>
      <c r="N3" s="6" t="s">
        <v>138</v>
      </c>
      <c r="O3" s="6" t="s">
        <v>139</v>
      </c>
      <c r="P3" s="7" t="str">
        <f>_xlfn.IFS(
    M3 &lt;&gt; "Awaiting response", "",
    L3 = "", "Missing deadline",
    K3 &gt; Dashboard!$C$4, "Scheduled",
    Dashboard!$C$4 &gt; L3, "Overdue",
    TRUE, "Within deadline"
)</f>
        <v/>
      </c>
      <c r="Q3" s="6" t="s">
        <v>23</v>
      </c>
      <c r="R3" s="6" t="s">
        <v>140</v>
      </c>
      <c r="S3" s="7" t="str">
        <f>_xlfn.IFS(
    I3 &lt;&gt; "Verified", "Hold claim",
    OR(N3 = "", N3 = "Not provided", N3 = "Demo document pending"), "Evidence reference missing",
    H3 = "Expired certificate", "Current evidence needed",
    TRUE, "Ready for approval"
)</f>
        <v>Hold claim</v>
      </c>
      <c r="T3" s="1"/>
      <c r="U3" s="1" t="s">
        <v>141</v>
      </c>
      <c r="V3" s="1">
        <f>COUNTIFS(S2:S501, "Ready for approval")</f>
        <v>0</v>
      </c>
    </row>
    <row r="4" spans="1:22" ht="61.95" customHeight="1">
      <c r="A4" s="5" t="s">
        <v>55</v>
      </c>
      <c r="B4" s="5" t="s">
        <v>142</v>
      </c>
      <c r="C4" s="5" t="s">
        <v>143</v>
      </c>
      <c r="D4" s="5" t="s">
        <v>144</v>
      </c>
      <c r="E4" s="5" t="s">
        <v>97</v>
      </c>
      <c r="F4" s="5" t="s">
        <v>49</v>
      </c>
      <c r="G4" s="5" t="s">
        <v>145</v>
      </c>
      <c r="H4" s="5" t="s">
        <v>146</v>
      </c>
      <c r="I4" s="6" t="s">
        <v>123</v>
      </c>
      <c r="J4" s="5" t="s">
        <v>147</v>
      </c>
      <c r="K4" s="8">
        <v>46293</v>
      </c>
      <c r="L4" s="8">
        <v>46307</v>
      </c>
      <c r="M4" s="6" t="s">
        <v>125</v>
      </c>
      <c r="N4" s="6" t="s">
        <v>138</v>
      </c>
      <c r="O4" s="6" t="s">
        <v>148</v>
      </c>
      <c r="P4" s="7" t="str">
        <f>_xlfn.IFS(
    M4 &lt;&gt; "Awaiting response", "",
    L4 = "", "Missing deadline",
    K4 &gt; Dashboard!$C$4, "Scheduled",
    Dashboard!$C$4 &gt; L4, "Overdue",
    TRUE, "Within deadline"
)</f>
        <v>Scheduled</v>
      </c>
      <c r="Q4" s="6" t="s">
        <v>23</v>
      </c>
      <c r="R4" s="6" t="s">
        <v>149</v>
      </c>
      <c r="S4" s="7" t="str">
        <f>_xlfn.IFS(
    I4 &lt;&gt; "Verified", "Hold claim",
    OR(N4 = "", N4 = "Not provided", N4 = "Demo document pending"), "Evidence reference missing",
    H4 = "Expired certificate", "Current evidence needed",
    TRUE, "Ready for approval"
)</f>
        <v>Hold claim</v>
      </c>
      <c r="T4" s="1"/>
      <c r="U4" s="1" t="s">
        <v>150</v>
      </c>
      <c r="V4" s="9">
        <f>IF(V2 = 0, "n.a.", V3 / V2)</f>
        <v>0</v>
      </c>
    </row>
    <row r="5" spans="1:22" ht="61.95" customHeight="1">
      <c r="A5" s="2" t="s">
        <v>58</v>
      </c>
      <c r="B5" s="2" t="s">
        <v>151</v>
      </c>
      <c r="C5" s="2" t="s">
        <v>143</v>
      </c>
      <c r="D5" s="2" t="s">
        <v>152</v>
      </c>
      <c r="E5" s="2" t="s">
        <v>153</v>
      </c>
      <c r="F5" s="2" t="s">
        <v>49</v>
      </c>
      <c r="G5" s="2" t="s">
        <v>154</v>
      </c>
      <c r="H5" s="2" t="s">
        <v>155</v>
      </c>
      <c r="I5" s="6" t="s">
        <v>123</v>
      </c>
      <c r="J5" s="2" t="s">
        <v>156</v>
      </c>
      <c r="K5" s="8">
        <v>46293</v>
      </c>
      <c r="L5" s="8">
        <v>46307</v>
      </c>
      <c r="M5" s="6" t="s">
        <v>125</v>
      </c>
      <c r="N5" s="6" t="s">
        <v>138</v>
      </c>
      <c r="O5" s="6" t="s">
        <v>157</v>
      </c>
      <c r="P5" s="7" t="str">
        <f>_xlfn.IFS(
    M5 &lt;&gt; "Awaiting response", "",
    L5 = "", "Missing deadline",
    K5 &gt; Dashboard!$C$4, "Scheduled",
    Dashboard!$C$4 &gt; L5, "Overdue",
    TRUE, "Within deadline"
)</f>
        <v>Scheduled</v>
      </c>
      <c r="Q5" s="6" t="s">
        <v>21</v>
      </c>
      <c r="R5" s="6" t="s">
        <v>158</v>
      </c>
      <c r="S5" s="7" t="str">
        <f>_xlfn.IFS(
    I5 &lt;&gt; "Verified", "Hold claim",
    OR(N5 = "", N5 = "Not provided", N5 = "Demo document pending"), "Evidence reference missing",
    H5 = "Expired certificate", "Current evidence needed",
    TRUE, "Ready for approval"
)</f>
        <v>Hold claim</v>
      </c>
      <c r="T5" s="1"/>
      <c r="U5" s="1" t="s">
        <v>159</v>
      </c>
      <c r="V5" s="1">
        <f>COUNTIFS(Q2:Q501, "High", S2:S501, "&lt;&gt;Ready for approval")</f>
        <v>3</v>
      </c>
    </row>
    <row r="6" spans="1:22" ht="61.95" customHeight="1">
      <c r="A6" s="5" t="s">
        <v>60</v>
      </c>
      <c r="B6" s="5" t="s">
        <v>160</v>
      </c>
      <c r="C6" s="5" t="s">
        <v>118</v>
      </c>
      <c r="D6" s="5" t="s">
        <v>161</v>
      </c>
      <c r="E6" s="5" t="s">
        <v>120</v>
      </c>
      <c r="F6" s="5" t="s">
        <v>49</v>
      </c>
      <c r="G6" s="5" t="s">
        <v>162</v>
      </c>
      <c r="H6" s="5" t="s">
        <v>163</v>
      </c>
      <c r="I6" s="6" t="s">
        <v>123</v>
      </c>
      <c r="J6" s="5" t="s">
        <v>164</v>
      </c>
      <c r="K6" s="8">
        <v>46293</v>
      </c>
      <c r="L6" s="8">
        <v>46307</v>
      </c>
      <c r="M6" s="6" t="s">
        <v>125</v>
      </c>
      <c r="N6" s="6" t="s">
        <v>138</v>
      </c>
      <c r="O6" s="6" t="s">
        <v>165</v>
      </c>
      <c r="P6" s="7" t="str">
        <f>_xlfn.IFS(
    M6 &lt;&gt; "Awaiting response", "",
    L6 = "", "Missing deadline",
    K6 &gt; Dashboard!$C$4, "Scheduled",
    Dashboard!$C$4 &gt; L6, "Overdue",
    TRUE, "Within deadline"
)</f>
        <v>Scheduled</v>
      </c>
      <c r="Q6" s="6" t="s">
        <v>21</v>
      </c>
      <c r="R6" s="6" t="s">
        <v>166</v>
      </c>
      <c r="S6" s="7" t="str">
        <f>_xlfn.IFS(
    I6 &lt;&gt; "Verified", "Hold claim",
    OR(N6 = "", N6 = "Not provided", N6 = "Demo document pending"), "Evidence reference missing",
    H6 = "Expired certificate", "Current evidence needed",
    TRUE, "Ready for approval"
)</f>
        <v>Hold claim</v>
      </c>
      <c r="T6" s="1"/>
      <c r="U6" s="1" t="s">
        <v>167</v>
      </c>
      <c r="V6" s="1">
        <f>COUNTIFS(I2:I501, "Unverified")</f>
        <v>5</v>
      </c>
    </row>
    <row r="7" spans="1:22" ht="28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168</v>
      </c>
      <c r="V7" s="1">
        <f>COUNTIFS(H2:H501, "Expired certificate")</f>
        <v>1</v>
      </c>
    </row>
    <row r="8" spans="1:22" ht="28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169</v>
      </c>
      <c r="V8" s="1">
        <f>COUNTIFS(P2:P501, "Overdue")</f>
        <v>0</v>
      </c>
    </row>
    <row r="9" spans="1:22" ht="25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5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40" t="s">
        <v>170</v>
      </c>
      <c r="V10" s="40"/>
    </row>
    <row r="11" spans="1:22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40"/>
      <c r="V11" s="40"/>
    </row>
    <row r="12" spans="1:22" ht="25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40"/>
      <c r="V12" s="40"/>
    </row>
    <row r="13" spans="1:22" ht="25.0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40"/>
      <c r="V13" s="40"/>
    </row>
    <row r="14" spans="1:22" ht="25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mergeCells count="1">
    <mergeCell ref="U10:V13"/>
  </mergeCells>
  <conditionalFormatting sqref="I2:I501">
    <cfRule type="containsText" dxfId="27" priority="1" operator="containsText" text="Overdue"/>
    <cfRule type="containsText" dxfId="26" priority="2" operator="containsText" text="Missing"/>
    <cfRule type="containsText" dxfId="25" priority="6" operator="containsText" text="Check"/>
    <cfRule type="containsText" dxfId="24" priority="7" operator="containsText" text="Not assessed"/>
  </conditionalFormatting>
  <conditionalFormatting sqref="P2:Q501">
    <cfRule type="containsText" dxfId="23" priority="9" operator="containsText" text="Overdue"/>
    <cfRule type="containsText" dxfId="22" priority="10" operator="containsText" text="Missing"/>
    <cfRule type="containsText" dxfId="21" priority="14" operator="containsText" text="Check"/>
    <cfRule type="containsText" dxfId="20" priority="15" operator="containsText" text="Not assessed"/>
  </conditionalFormatting>
  <conditionalFormatting sqref="S2:S501">
    <cfRule type="containsText" dxfId="19" priority="17" operator="containsText" text="Overdue"/>
    <cfRule type="containsText" dxfId="18" priority="18" operator="containsText" text="Missing"/>
    <cfRule type="containsText" dxfId="17" priority="22" operator="containsText" text="Check"/>
    <cfRule type="containsText" dxfId="16" priority="23" operator="containsText" text="Not assessed"/>
  </conditionalFormatting>
  <dataValidations count="3">
    <dataValidation type="list" sqref="I2:I501" xr:uid="{00000000-0002-0000-0200-000000000000}">
      <formula1>"Unverified,Verified,Rejected"</formula1>
    </dataValidation>
    <dataValidation type="list" sqref="M2:M501" xr:uid="{00000000-0002-0000-0200-000001000000}">
      <formula1>"Not requested,Awaiting response,Under review,Closed"</formula1>
    </dataValidation>
    <dataValidation type="list" sqref="Q2:Q501" xr:uid="{00000000-0002-0000-0200-000002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963D"/>
  </sheetPr>
  <dimension ref="A1:L12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15" customWidth="1"/>
    <col min="3" max="3" width="30" customWidth="1"/>
    <col min="4" max="4" width="24" customWidth="1"/>
    <col min="5" max="5" width="22" customWidth="1"/>
    <col min="6" max="6" width="16" customWidth="1"/>
    <col min="7" max="7" width="30" customWidth="1"/>
    <col min="8" max="8" width="26" customWidth="1"/>
    <col min="9" max="9" width="3" customWidth="1"/>
    <col min="10" max="10" width="18" customWidth="1"/>
    <col min="11" max="11" width="31" customWidth="1"/>
    <col min="12" max="12" width="19" customWidth="1"/>
  </cols>
  <sheetData>
    <row r="1" spans="1:12" ht="42" customHeight="1">
      <c r="A1" s="4" t="s">
        <v>171</v>
      </c>
      <c r="B1" s="4" t="s">
        <v>102</v>
      </c>
      <c r="C1" s="4" t="s">
        <v>172</v>
      </c>
      <c r="D1" s="4" t="s">
        <v>173</v>
      </c>
      <c r="E1" s="4" t="s">
        <v>174</v>
      </c>
      <c r="F1" s="4" t="s">
        <v>43</v>
      </c>
      <c r="G1" s="4" t="s">
        <v>103</v>
      </c>
      <c r="H1" s="4" t="s">
        <v>175</v>
      </c>
      <c r="I1" s="1"/>
      <c r="J1" s="1"/>
      <c r="K1" s="4" t="s">
        <v>176</v>
      </c>
      <c r="L1" s="4" t="s">
        <v>45</v>
      </c>
    </row>
    <row r="2" spans="1:12" ht="28.95" customHeight="1">
      <c r="A2" s="3" t="s">
        <v>177</v>
      </c>
      <c r="B2" s="3" t="s">
        <v>48</v>
      </c>
      <c r="C2" s="3" t="s">
        <v>178</v>
      </c>
      <c r="D2" s="3" t="s">
        <v>119</v>
      </c>
      <c r="E2" s="11">
        <v>1200</v>
      </c>
      <c r="F2" s="3" t="s">
        <v>49</v>
      </c>
      <c r="G2" s="10" t="str">
        <f>IF(H2 &lt;&gt; "Linked", "Check supplier ID", _xlfn.XLOOKUP(B2, Suppliers!$A$2:$A$501, Suppliers!$B$2:$B$501))</f>
        <v>Demo Timber Ltd</v>
      </c>
      <c r="H2" s="10" t="str">
        <f>IF(COUNTIFS(Suppliers!$A$2:$A$501, B2) = 1, "Linked", "Check supplier ID")</f>
        <v>Linked</v>
      </c>
      <c r="I2" s="1"/>
      <c r="J2" s="1"/>
      <c r="K2" s="1" t="s">
        <v>179</v>
      </c>
      <c r="L2" s="1">
        <f>COUNTA(A2:A501)</f>
        <v>5</v>
      </c>
    </row>
    <row r="3" spans="1:12" ht="28.95" customHeight="1">
      <c r="A3" s="1" t="s">
        <v>180</v>
      </c>
      <c r="B3" s="1" t="s">
        <v>52</v>
      </c>
      <c r="C3" s="1" t="s">
        <v>181</v>
      </c>
      <c r="D3" s="1" t="s">
        <v>132</v>
      </c>
      <c r="E3" s="11">
        <v>5000</v>
      </c>
      <c r="F3" s="1" t="s">
        <v>49</v>
      </c>
      <c r="G3" s="10" t="str">
        <f>IF(H3 &lt;&gt; "Linked", "Check supplier ID", _xlfn.XLOOKUP(B3, Suppliers!$A$2:$A$501, Suppliers!$B$2:$B$501))</f>
        <v>Demo Paint Palace Ltd</v>
      </c>
      <c r="H3" s="10" t="str">
        <f>IF(COUNTIFS(Suppliers!$A$2:$A$501, B3) = 1, "Linked", "Check supplier ID")</f>
        <v>Linked</v>
      </c>
      <c r="I3" s="1"/>
      <c r="J3" s="1"/>
      <c r="K3" s="1" t="s">
        <v>182</v>
      </c>
      <c r="L3" s="1">
        <f>SUM(E2:E501)</f>
        <v>12000</v>
      </c>
    </row>
    <row r="4" spans="1:12" ht="37.950000000000003" customHeight="1">
      <c r="A4" s="3" t="s">
        <v>183</v>
      </c>
      <c r="B4" s="3" t="s">
        <v>55</v>
      </c>
      <c r="C4" s="3" t="s">
        <v>184</v>
      </c>
      <c r="D4" s="3" t="s">
        <v>144</v>
      </c>
      <c r="E4" s="11">
        <v>3000</v>
      </c>
      <c r="F4" s="3" t="s">
        <v>49</v>
      </c>
      <c r="G4" s="10" t="str">
        <f>IF(H4 &lt;&gt; "Linked", "Check supplier ID", _xlfn.XLOOKUP(B4, Suppliers!$A$2:$A$501, Suppliers!$B$2:$B$501))</f>
        <v>Demo Lighting Solutions Ltd</v>
      </c>
      <c r="H4" s="10" t="str">
        <f>IF(COUNTIFS(Suppliers!$A$2:$A$501, B4) = 1, "Linked", "Check supplier ID")</f>
        <v>Linked</v>
      </c>
      <c r="I4" s="1"/>
      <c r="J4" s="1"/>
      <c r="K4" s="1"/>
      <c r="L4" s="1"/>
    </row>
    <row r="5" spans="1:12" ht="37.950000000000003" customHeight="1">
      <c r="A5" s="1" t="s">
        <v>185</v>
      </c>
      <c r="B5" s="1" t="s">
        <v>58</v>
      </c>
      <c r="C5" s="1" t="s">
        <v>186</v>
      </c>
      <c r="D5" s="1" t="s">
        <v>152</v>
      </c>
      <c r="E5" s="11">
        <v>2000</v>
      </c>
      <c r="F5" s="1" t="s">
        <v>49</v>
      </c>
      <c r="G5" s="10" t="str">
        <f>IF(H5 &lt;&gt; "Linked", "Check supplier ID", _xlfn.XLOOKUP(B5, Suppliers!$A$2:$A$501, Suppliers!$B$2:$B$501))</f>
        <v>Demo EverydayTools Ltd</v>
      </c>
      <c r="H5" s="10" t="str">
        <f>IF(COUNTIFS(Suppliers!$A$2:$A$501, B5) = 1, "Linked", "Check supplier ID")</f>
        <v>Linked</v>
      </c>
      <c r="I5" s="1"/>
      <c r="J5" s="1"/>
      <c r="K5" s="1"/>
      <c r="L5" s="1"/>
    </row>
    <row r="6" spans="1:12" ht="37.950000000000003" customHeight="1">
      <c r="A6" s="3" t="s">
        <v>187</v>
      </c>
      <c r="B6" s="3" t="s">
        <v>60</v>
      </c>
      <c r="C6" s="3" t="s">
        <v>188</v>
      </c>
      <c r="D6" s="3" t="s">
        <v>161</v>
      </c>
      <c r="E6" s="11">
        <v>800</v>
      </c>
      <c r="F6" s="3" t="s">
        <v>49</v>
      </c>
      <c r="G6" s="10" t="str">
        <f>IF(H6 &lt;&gt; "Linked", "Check supplier ID", _xlfn.XLOOKUP(B6, Suppliers!$A$2:$A$501, Suppliers!$B$2:$B$501))</f>
        <v>Demo Garden King Ltd</v>
      </c>
      <c r="H6" s="10" t="str">
        <f>IF(COUNTIFS(Suppliers!$A$2:$A$501, B6) = 1, "Linked", "Check supplier ID")</f>
        <v>Linked</v>
      </c>
      <c r="I6" s="1"/>
      <c r="J6" s="1"/>
      <c r="K6" s="40" t="s">
        <v>189</v>
      </c>
      <c r="L6" s="40"/>
    </row>
    <row r="7" spans="1:12" ht="25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40"/>
      <c r="L7" s="40"/>
    </row>
    <row r="8" spans="1:12" ht="25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40"/>
      <c r="L8" s="40"/>
    </row>
    <row r="9" spans="1:12" ht="25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40"/>
      <c r="L9" s="40"/>
    </row>
    <row r="10" spans="1:12" ht="25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40"/>
      <c r="L10" s="40"/>
    </row>
    <row r="11" spans="1:12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5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mergeCells count="1">
    <mergeCell ref="K6:L10"/>
  </mergeCells>
  <conditionalFormatting sqref="H2:H501">
    <cfRule type="containsText" dxfId="15" priority="1" operator="containsText" text="Overdue"/>
    <cfRule type="containsText" dxfId="14" priority="2" operator="containsText" text="Missing"/>
    <cfRule type="containsText" dxfId="13" priority="6" operator="containsText" text="Check"/>
    <cfRule type="containsText" dxfId="12" priority="7" operator="containsText" text="Not assessed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963D"/>
  </sheetPr>
  <dimension ref="A1:S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2" width="15" customWidth="1"/>
    <col min="3" max="3" width="25" customWidth="1"/>
    <col min="4" max="4" width="18" customWidth="1"/>
    <col min="5" max="5" width="26" customWidth="1"/>
    <col min="6" max="6" width="23" customWidth="1"/>
    <col min="7" max="7" width="16" customWidth="1"/>
    <col min="8" max="8" width="20" customWidth="1"/>
    <col min="9" max="9" width="24" customWidth="1"/>
    <col min="10" max="10" width="27" customWidth="1"/>
    <col min="11" max="12" width="28" customWidth="1"/>
    <col min="13" max="13" width="26" customWidth="1"/>
    <col min="14" max="14" width="24" customWidth="1"/>
    <col min="15" max="15" width="30" customWidth="1"/>
    <col min="16" max="16" width="3" customWidth="1"/>
    <col min="17" max="17" width="31" customWidth="1"/>
    <col min="18" max="18" width="19" customWidth="1"/>
    <col min="19" max="19" width="24" customWidth="1"/>
  </cols>
  <sheetData>
    <row r="1" spans="1:19" ht="42" customHeight="1">
      <c r="A1" s="4" t="s">
        <v>190</v>
      </c>
      <c r="B1" s="4" t="s">
        <v>171</v>
      </c>
      <c r="C1" s="4" t="s">
        <v>191</v>
      </c>
      <c r="D1" s="4" t="s">
        <v>192</v>
      </c>
      <c r="E1" s="4" t="s">
        <v>193</v>
      </c>
      <c r="F1" s="4" t="s">
        <v>107</v>
      </c>
      <c r="G1" s="4" t="s">
        <v>43</v>
      </c>
      <c r="H1" s="4" t="s">
        <v>174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1"/>
      <c r="Q1" s="4" t="s">
        <v>201</v>
      </c>
      <c r="R1" s="4" t="s">
        <v>45</v>
      </c>
    </row>
    <row r="2" spans="1:19" ht="28.95" customHeight="1">
      <c r="A2" s="5" t="s">
        <v>202</v>
      </c>
      <c r="B2" s="5" t="s">
        <v>177</v>
      </c>
      <c r="C2" s="5" t="s">
        <v>203</v>
      </c>
      <c r="D2" s="5" t="s">
        <v>204</v>
      </c>
      <c r="E2" s="12">
        <v>60</v>
      </c>
      <c r="F2" s="12" t="s">
        <v>126</v>
      </c>
      <c r="G2" s="12" t="s">
        <v>49</v>
      </c>
      <c r="H2" s="14">
        <f>IF(
    COUNTIFS(Products!$A$2:$A$501, B2) &lt;&gt; 1,
    "Check product ID",
    IF(
        COUNTIFS(Products!$A$2:$A$501, B2, Products!$E$2:$E$501, "&lt;&gt;") &lt;&gt; 1,
        "Missing sales volume",
        _xlfn.XLOOKUP(B2, Products!$A$2:$A$501, Products!$E$2:$E$501, "Check product ID")
    )
)</f>
        <v>1200</v>
      </c>
      <c r="I2" s="13">
        <f t="shared" ref="I2:I9" si="0">IF(N2 &lt;&gt; "Complete", "Incomplete", E2 * H2 / 1000)</f>
        <v>72</v>
      </c>
      <c r="J2" s="15"/>
      <c r="K2" s="6" t="s">
        <v>126</v>
      </c>
      <c r="L2" s="6" t="s">
        <v>126</v>
      </c>
      <c r="M2" s="6" t="s">
        <v>123</v>
      </c>
      <c r="N2" s="7" t="str">
        <f>_xlfn.IFS(
    COUNTIFS(Products!$A$2:$A$501, B2) &lt;&gt; 1, "Check product ID",
    OR(C2 = "", D2 = "", COUNT(E2, H2) &lt; 2), "Missing data",
    OR(E2 &lt; 0, H2 &lt; 0), "Check negative value",
    TRUE, "Complete"
)</f>
        <v>Complete</v>
      </c>
      <c r="O2" s="6" t="s">
        <v>126</v>
      </c>
      <c r="P2" s="1"/>
      <c r="Q2" s="1" t="s">
        <v>205</v>
      </c>
      <c r="R2" s="1">
        <f>COUNTA(A2:A501)</f>
        <v>8</v>
      </c>
    </row>
    <row r="3" spans="1:19" ht="28.95" customHeight="1">
      <c r="A3" s="2" t="s">
        <v>206</v>
      </c>
      <c r="B3" s="2" t="s">
        <v>180</v>
      </c>
      <c r="C3" s="2" t="s">
        <v>207</v>
      </c>
      <c r="D3" s="2" t="s">
        <v>204</v>
      </c>
      <c r="E3" s="12">
        <v>250</v>
      </c>
      <c r="F3" s="12" t="s">
        <v>126</v>
      </c>
      <c r="G3" s="12" t="s">
        <v>49</v>
      </c>
      <c r="H3" s="14">
        <f>IF(
    COUNTIFS(Products!$A$2:$A$501, B3) &lt;&gt; 1,
    "Check product ID",
    IF(
        COUNTIFS(Products!$A$2:$A$501, B3, Products!$E$2:$E$501, "&lt;&gt;") &lt;&gt; 1,
        "Missing sales volume",
        _xlfn.XLOOKUP(B3, Products!$A$2:$A$501, Products!$E$2:$E$501, "Check product ID")
    )
)</f>
        <v>5000</v>
      </c>
      <c r="I3" s="13">
        <f t="shared" si="0"/>
        <v>1250</v>
      </c>
      <c r="J3" s="15"/>
      <c r="K3" s="6" t="s">
        <v>126</v>
      </c>
      <c r="L3" s="6" t="s">
        <v>126</v>
      </c>
      <c r="M3" s="6" t="s">
        <v>123</v>
      </c>
      <c r="N3" s="7" t="str">
        <f>_xlfn.IFS(
    COUNTIFS(Products!$A$2:$A$501, B3) &lt;&gt; 1, "Check product ID",
    OR(C3 = "", D3 = "", COUNT(E3, H3) &lt; 2), "Missing data",
    OR(E3 &lt; 0, H3 &lt; 0), "Check negative value",
    TRUE, "Complete"
)</f>
        <v>Complete</v>
      </c>
      <c r="O3" s="6" t="s">
        <v>126</v>
      </c>
      <c r="P3" s="1"/>
      <c r="Q3" s="1" t="s">
        <v>208</v>
      </c>
      <c r="R3" s="1">
        <f>COUNTIFS(N2:N501, "Complete")</f>
        <v>8</v>
      </c>
    </row>
    <row r="4" spans="1:19" ht="28.95" customHeight="1">
      <c r="A4" s="5" t="s">
        <v>209</v>
      </c>
      <c r="B4" s="5" t="s">
        <v>180</v>
      </c>
      <c r="C4" s="5" t="s">
        <v>210</v>
      </c>
      <c r="D4" s="5" t="s">
        <v>204</v>
      </c>
      <c r="E4" s="12">
        <v>50</v>
      </c>
      <c r="F4" s="12" t="s">
        <v>126</v>
      </c>
      <c r="G4" s="12" t="s">
        <v>49</v>
      </c>
      <c r="H4" s="14">
        <f>IF(
    COUNTIFS(Products!$A$2:$A$501, B4) &lt;&gt; 1,
    "Check product ID",
    IF(
        COUNTIFS(Products!$A$2:$A$501, B4, Products!$E$2:$E$501, "&lt;&gt;") &lt;&gt; 1,
        "Missing sales volume",
        _xlfn.XLOOKUP(B4, Products!$A$2:$A$501, Products!$E$2:$E$501, "Check product ID")
    )
)</f>
        <v>5000</v>
      </c>
      <c r="I4" s="13">
        <f t="shared" si="0"/>
        <v>250</v>
      </c>
      <c r="J4" s="15"/>
      <c r="K4" s="6" t="s">
        <v>126</v>
      </c>
      <c r="L4" s="6" t="s">
        <v>126</v>
      </c>
      <c r="M4" s="6" t="s">
        <v>123</v>
      </c>
      <c r="N4" s="7" t="str">
        <f>_xlfn.IFS(
    COUNTIFS(Products!$A$2:$A$501, B4) &lt;&gt; 1, "Check product ID",
    OR(C4 = "", D4 = "", COUNT(E4, H4) &lt; 2), "Missing data",
    OR(E4 &lt; 0, H4 &lt; 0), "Check negative value",
    TRUE, "Complete"
)</f>
        <v>Complete</v>
      </c>
      <c r="O4" s="6" t="s">
        <v>126</v>
      </c>
      <c r="P4" s="1"/>
      <c r="Q4" s="1" t="s">
        <v>211</v>
      </c>
      <c r="R4" s="9">
        <f>IF(R2 = 0, "n.a.", R3 / R2)</f>
        <v>1</v>
      </c>
    </row>
    <row r="5" spans="1:19" ht="28.95" customHeight="1">
      <c r="A5" s="2" t="s">
        <v>212</v>
      </c>
      <c r="B5" s="2" t="s">
        <v>183</v>
      </c>
      <c r="C5" s="2" t="s">
        <v>213</v>
      </c>
      <c r="D5" s="2" t="s">
        <v>214</v>
      </c>
      <c r="E5" s="12">
        <v>120</v>
      </c>
      <c r="F5" s="12" t="s">
        <v>126</v>
      </c>
      <c r="G5" s="12" t="s">
        <v>49</v>
      </c>
      <c r="H5" s="14">
        <f>IF(
    COUNTIFS(Products!$A$2:$A$501, B5) &lt;&gt; 1,
    "Check product ID",
    IF(
        COUNTIFS(Products!$A$2:$A$501, B5, Products!$E$2:$E$501, "&lt;&gt;") &lt;&gt; 1,
        "Missing sales volume",
        _xlfn.XLOOKUP(B5, Products!$A$2:$A$501, Products!$E$2:$E$501, "Check product ID")
    )
)</f>
        <v>3000</v>
      </c>
      <c r="I5" s="13">
        <f t="shared" si="0"/>
        <v>360</v>
      </c>
      <c r="J5" s="15"/>
      <c r="K5" s="6" t="s">
        <v>126</v>
      </c>
      <c r="L5" s="6" t="s">
        <v>126</v>
      </c>
      <c r="M5" s="6" t="s">
        <v>123</v>
      </c>
      <c r="N5" s="7" t="str">
        <f>_xlfn.IFS(
    COUNTIFS(Products!$A$2:$A$501, B5) &lt;&gt; 1, "Check product ID",
    OR(C5 = "", D5 = "", COUNT(E5, H5) &lt; 2), "Missing data",
    OR(E5 &lt; 0, H5 &lt; 0), "Check negative value",
    TRUE, "Complete"
)</f>
        <v>Complete</v>
      </c>
      <c r="O5" s="6" t="s">
        <v>126</v>
      </c>
      <c r="P5" s="1"/>
      <c r="Q5" s="1" t="s">
        <v>215</v>
      </c>
      <c r="R5" s="1">
        <f>COUNTIFS(F2:F501, "Verified", O2:O501, "&lt;&gt;", O2:O501, "&lt;&gt;Not provided")</f>
        <v>0</v>
      </c>
    </row>
    <row r="6" spans="1:19" ht="28.95" customHeight="1">
      <c r="A6" s="5" t="s">
        <v>216</v>
      </c>
      <c r="B6" s="5" t="s">
        <v>185</v>
      </c>
      <c r="C6" s="5" t="s">
        <v>213</v>
      </c>
      <c r="D6" s="5" t="s">
        <v>214</v>
      </c>
      <c r="E6" s="12">
        <v>180</v>
      </c>
      <c r="F6" s="12" t="s">
        <v>126</v>
      </c>
      <c r="G6" s="12" t="s">
        <v>49</v>
      </c>
      <c r="H6" s="14">
        <f>IF(
    COUNTIFS(Products!$A$2:$A$501, B6) &lt;&gt; 1,
    "Check product ID",
    IF(
        COUNTIFS(Products!$A$2:$A$501, B6, Products!$E$2:$E$501, "&lt;&gt;") &lt;&gt; 1,
        "Missing sales volume",
        _xlfn.XLOOKUP(B6, Products!$A$2:$A$501, Products!$E$2:$E$501, "Check product ID")
    )
)</f>
        <v>2000</v>
      </c>
      <c r="I6" s="13">
        <f t="shared" si="0"/>
        <v>360</v>
      </c>
      <c r="J6" s="15"/>
      <c r="K6" s="6" t="s">
        <v>126</v>
      </c>
      <c r="L6" s="6" t="s">
        <v>126</v>
      </c>
      <c r="M6" s="6" t="s">
        <v>123</v>
      </c>
      <c r="N6" s="7" t="str">
        <f>_xlfn.IFS(
    COUNTIFS(Products!$A$2:$A$501, B6) &lt;&gt; 1, "Check product ID",
    OR(C6 = "", D6 = "", COUNT(E6, H6) &lt; 2), "Missing data",
    OR(E6 &lt; 0, H6 &lt; 0), "Check negative value",
    TRUE, "Complete"
)</f>
        <v>Complete</v>
      </c>
      <c r="O6" s="6" t="s">
        <v>126</v>
      </c>
      <c r="P6" s="1"/>
      <c r="Q6" s="1" t="s">
        <v>217</v>
      </c>
      <c r="R6" s="16">
        <f>IF(R3 &lt;&gt; R2, "Incomplete", SUM(I2:I501))</f>
        <v>3132</v>
      </c>
    </row>
    <row r="7" spans="1:19" ht="28.95" customHeight="1">
      <c r="A7" s="2" t="s">
        <v>218</v>
      </c>
      <c r="B7" s="2" t="s">
        <v>185</v>
      </c>
      <c r="C7" s="2" t="s">
        <v>219</v>
      </c>
      <c r="D7" s="2" t="s">
        <v>204</v>
      </c>
      <c r="E7" s="12">
        <v>20</v>
      </c>
      <c r="F7" s="12" t="s">
        <v>126</v>
      </c>
      <c r="G7" s="12" t="s">
        <v>49</v>
      </c>
      <c r="H7" s="14">
        <f>IF(
    COUNTIFS(Products!$A$2:$A$501, B7) &lt;&gt; 1,
    "Check product ID",
    IF(
        COUNTIFS(Products!$A$2:$A$501, B7, Products!$E$2:$E$501, "&lt;&gt;") &lt;&gt; 1,
        "Missing sales volume",
        _xlfn.XLOOKUP(B7, Products!$A$2:$A$501, Products!$E$2:$E$501, "Check product ID")
    )
)</f>
        <v>2000</v>
      </c>
      <c r="I7" s="13">
        <f t="shared" si="0"/>
        <v>40</v>
      </c>
      <c r="J7" s="15"/>
      <c r="K7" s="6" t="s">
        <v>126</v>
      </c>
      <c r="L7" s="6" t="s">
        <v>126</v>
      </c>
      <c r="M7" s="6" t="s">
        <v>123</v>
      </c>
      <c r="N7" s="7" t="str">
        <f>_xlfn.IFS(
    COUNTIFS(Products!$A$2:$A$501, B7) &lt;&gt; 1, "Check product ID",
    OR(C7 = "", D7 = "", COUNT(E7, H7) &lt; 2), "Missing data",
    OR(E7 &lt; 0, H7 &lt; 0), "Check negative value",
    TRUE, "Complete"
)</f>
        <v>Complete</v>
      </c>
      <c r="O7" s="6" t="s">
        <v>126</v>
      </c>
      <c r="P7" s="1"/>
      <c r="Q7" s="1" t="s">
        <v>220</v>
      </c>
      <c r="R7" s="1">
        <f>COUNTIFS(M2:M501, "Verified", J2:J501, "&gt;=0", J2:J501, "&lt;=1", J2:J501, "&lt;&gt;", K2:K501, "&lt;&gt;", L2:L501, "&lt;&gt;", K2:K501, "&lt;&gt;Not provided", L2:L501, "&lt;&gt;Not provided")</f>
        <v>0</v>
      </c>
    </row>
    <row r="8" spans="1:19" ht="43.05" customHeight="1">
      <c r="A8" s="5" t="s">
        <v>221</v>
      </c>
      <c r="B8" s="5" t="s">
        <v>187</v>
      </c>
      <c r="C8" s="5" t="s">
        <v>213</v>
      </c>
      <c r="D8" s="5" t="s">
        <v>214</v>
      </c>
      <c r="E8" s="12">
        <v>900</v>
      </c>
      <c r="F8" s="12" t="s">
        <v>126</v>
      </c>
      <c r="G8" s="12" t="s">
        <v>49</v>
      </c>
      <c r="H8" s="14">
        <f>IF(
    COUNTIFS(Products!$A$2:$A$501, B8) &lt;&gt; 1,
    "Check product ID",
    IF(
        COUNTIFS(Products!$A$2:$A$501, B8, Products!$E$2:$E$501, "&lt;&gt;") &lt;&gt; 1,
        "Missing sales volume",
        _xlfn.XLOOKUP(B8, Products!$A$2:$A$501, Products!$E$2:$E$501, "Check product ID")
    )
)</f>
        <v>800</v>
      </c>
      <c r="I8" s="13">
        <f t="shared" si="0"/>
        <v>720</v>
      </c>
      <c r="J8" s="15"/>
      <c r="K8" s="6" t="s">
        <v>126</v>
      </c>
      <c r="L8" s="6" t="s">
        <v>126</v>
      </c>
      <c r="M8" s="6" t="s">
        <v>123</v>
      </c>
      <c r="N8" s="7" t="str">
        <f>_xlfn.IFS(
    COUNTIFS(Products!$A$2:$A$501, B8) &lt;&gt; 1, "Check product ID",
    OR(C8 = "", D8 = "", COUNT(E8, H8) &lt; 2), "Missing data",
    OR(E8 &lt; 0, H8 &lt; 0), "Check negative value",
    TRUE, "Complete"
)</f>
        <v>Complete</v>
      </c>
      <c r="O8" s="6" t="s">
        <v>126</v>
      </c>
      <c r="P8" s="1"/>
      <c r="Q8" s="1"/>
      <c r="R8" s="1"/>
    </row>
    <row r="9" spans="1:19" ht="43.05" customHeight="1">
      <c r="A9" s="2" t="s">
        <v>222</v>
      </c>
      <c r="B9" s="2" t="s">
        <v>187</v>
      </c>
      <c r="C9" s="2" t="s">
        <v>203</v>
      </c>
      <c r="D9" s="2" t="s">
        <v>204</v>
      </c>
      <c r="E9" s="12">
        <v>100</v>
      </c>
      <c r="F9" s="12" t="s">
        <v>126</v>
      </c>
      <c r="G9" s="12" t="s">
        <v>49</v>
      </c>
      <c r="H9" s="14">
        <f>IF(
    COUNTIFS(Products!$A$2:$A$501, B9) &lt;&gt; 1,
    "Check product ID",
    IF(
        COUNTIFS(Products!$A$2:$A$501, B9, Products!$E$2:$E$501, "&lt;&gt;") &lt;&gt; 1,
        "Missing sales volume",
        _xlfn.XLOOKUP(B9, Products!$A$2:$A$501, Products!$E$2:$E$501, "Check product ID")
    )
)</f>
        <v>800</v>
      </c>
      <c r="I9" s="13">
        <f t="shared" si="0"/>
        <v>80</v>
      </c>
      <c r="J9" s="15"/>
      <c r="K9" s="6" t="s">
        <v>126</v>
      </c>
      <c r="L9" s="6" t="s">
        <v>126</v>
      </c>
      <c r="M9" s="6" t="s">
        <v>123</v>
      </c>
      <c r="N9" s="7" t="str">
        <f>_xlfn.IFS(
    COUNTIFS(Products!$A$2:$A$501, B9) &lt;&gt; 1, "Check product ID",
    OR(C9 = "", D9 = "", COUNT(E9, H9) &lt; 2), "Missing data",
    OR(E9 &lt; 0, H9 &lt; 0), "Check negative value",
    TRUE, "Complete"
)</f>
        <v>Complete</v>
      </c>
      <c r="O9" s="6" t="s">
        <v>126</v>
      </c>
      <c r="P9" s="1"/>
      <c r="Q9" s="1"/>
      <c r="R9" s="1"/>
    </row>
    <row r="10" spans="1:19" ht="4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 t="s">
        <v>192</v>
      </c>
      <c r="R10" s="4" t="s">
        <v>223</v>
      </c>
      <c r="S10" s="36" t="s">
        <v>224</v>
      </c>
    </row>
    <row r="11" spans="1:19" ht="28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 t="s">
        <v>204</v>
      </c>
      <c r="R11" s="16">
        <f>IF(R3 &lt;&gt; R2, "Incomplete", SUMIFS(I2:I501, D2:D501, Q11))</f>
        <v>1692</v>
      </c>
      <c r="S11" s="37">
        <f>0</f>
        <v>0</v>
      </c>
    </row>
    <row r="12" spans="1:19" ht="28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s">
        <v>214</v>
      </c>
      <c r="R12" s="16">
        <f>IF(R3 &lt;&gt; R2, "Incomplete", SUMIFS(I2:I501, D2:D501, Q12))</f>
        <v>1440</v>
      </c>
      <c r="S12" s="37">
        <f>0</f>
        <v>0</v>
      </c>
    </row>
    <row r="13" spans="1:19" ht="25.0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9" ht="25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9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40" t="s">
        <v>225</v>
      </c>
      <c r="R15" s="40"/>
    </row>
    <row r="16" spans="1:19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40"/>
      <c r="R16" s="40"/>
    </row>
    <row r="17" spans="1:18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40"/>
      <c r="R17" s="40"/>
    </row>
    <row r="18" spans="1:18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0"/>
      <c r="R18" s="40"/>
    </row>
    <row r="19" spans="1:18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40"/>
      <c r="R19" s="40"/>
    </row>
    <row r="20" spans="1:18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5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</sheetData>
  <mergeCells count="1">
    <mergeCell ref="Q15:R19"/>
  </mergeCells>
  <conditionalFormatting sqref="M2:N501">
    <cfRule type="containsText" dxfId="11" priority="1" operator="containsText" text="Overdue"/>
    <cfRule type="containsText" dxfId="10" priority="2" operator="containsText" text="Missing"/>
    <cfRule type="containsText" dxfId="9" priority="6" operator="containsText" text="Check"/>
    <cfRule type="containsText" dxfId="8" priority="7" operator="containsText" text="Not assessed"/>
  </conditionalFormatting>
  <dataValidations count="3">
    <dataValidation type="list" sqref="F2:F501" xr:uid="{00000000-0002-0000-0400-000000000000}">
      <formula1>"Not provided,Received,Verified"</formula1>
    </dataValidation>
    <dataValidation type="list" sqref="M2:M501" xr:uid="{00000000-0002-0000-0400-000001000000}">
      <formula1>"Unverified,Verified,Rejected"</formula1>
    </dataValidation>
    <dataValidation type="decimal" sqref="J2:J501" xr:uid="{00000000-0002-0000-0400-000002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963D"/>
  </sheetPr>
  <dimension ref="A1:W28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17" customWidth="1"/>
    <col min="3" max="5" width="21" customWidth="1"/>
    <col min="6" max="6" width="22" customWidth="1"/>
    <col min="7" max="7" width="16" customWidth="1"/>
    <col min="8" max="8" width="23" customWidth="1"/>
    <col min="9" max="9" width="21" customWidth="1"/>
    <col min="10" max="10" width="20" customWidth="1"/>
    <col min="11" max="11" width="23" customWidth="1"/>
    <col min="12" max="12" width="31" customWidth="1"/>
    <col min="13" max="13" width="23" customWidth="1"/>
    <col min="14" max="14" width="15" customWidth="1"/>
    <col min="15" max="15" width="20" customWidth="1"/>
    <col min="16" max="16" width="56" customWidth="1"/>
    <col min="17" max="17" width="3" customWidth="1"/>
    <col min="18" max="20" width="18" customWidth="1"/>
    <col min="21" max="21" width="19" customWidth="1"/>
    <col min="22" max="23" width="24" customWidth="1"/>
  </cols>
  <sheetData>
    <row r="1" spans="1:23" ht="42" customHeight="1">
      <c r="A1" s="4" t="s">
        <v>226</v>
      </c>
      <c r="B1" s="4" t="s">
        <v>227</v>
      </c>
      <c r="C1" s="4" t="s">
        <v>228</v>
      </c>
      <c r="D1" s="4" t="s">
        <v>229</v>
      </c>
      <c r="E1" s="4" t="s">
        <v>230</v>
      </c>
      <c r="F1" s="4" t="s">
        <v>231</v>
      </c>
      <c r="G1" s="4" t="s">
        <v>43</v>
      </c>
      <c r="H1" s="4" t="s">
        <v>232</v>
      </c>
      <c r="I1" s="4" t="s">
        <v>233</v>
      </c>
      <c r="J1" s="4" t="s">
        <v>234</v>
      </c>
      <c r="K1" s="4" t="s">
        <v>235</v>
      </c>
      <c r="L1" s="4" t="s">
        <v>236</v>
      </c>
      <c r="M1" s="4" t="s">
        <v>237</v>
      </c>
      <c r="N1" s="4" t="s">
        <v>238</v>
      </c>
      <c r="O1" s="4" t="s">
        <v>37</v>
      </c>
      <c r="P1" s="4" t="s">
        <v>239</v>
      </c>
      <c r="Q1" s="1"/>
      <c r="R1" s="1"/>
      <c r="S1" s="1"/>
      <c r="T1" s="1"/>
      <c r="U1" s="4" t="s">
        <v>226</v>
      </c>
      <c r="V1" s="4" t="s">
        <v>240</v>
      </c>
      <c r="W1" s="4" t="s">
        <v>241</v>
      </c>
    </row>
    <row r="2" spans="1:23" ht="40.049999999999997" customHeight="1">
      <c r="A2" s="18">
        <v>45658</v>
      </c>
      <c r="B2" s="3" t="s">
        <v>81</v>
      </c>
      <c r="C2" s="11">
        <v>12000</v>
      </c>
      <c r="D2" s="11">
        <v>18000</v>
      </c>
      <c r="E2" s="11">
        <v>1200</v>
      </c>
      <c r="F2" s="11">
        <v>720</v>
      </c>
      <c r="G2" s="3" t="s">
        <v>49</v>
      </c>
      <c r="H2" s="21">
        <f t="shared" ref="H2:H13" si="0">IF(OR(COUNT(C2, $M$2) &lt; 2, MIN(C2, $M$2) &lt; 0), "", C2 * $M$2)</f>
        <v>2373.6</v>
      </c>
      <c r="I2" s="21">
        <f t="shared" ref="I2:I13" si="1">IF(OR(COUNT(D2, $M$3) &lt; 2, MIN(D2, $M$3) &lt; 0), "", D2 * $M$3)</f>
        <v>3303</v>
      </c>
      <c r="J2" s="23">
        <f t="shared" ref="J2:J13" si="2">IF(OR(COUNT(E2:F2) &lt; 2, E2 = 0, F2 &gt; E2), "", F2 / E2)</f>
        <v>0.6</v>
      </c>
      <c r="K2" s="10" t="str">
        <f t="shared" ref="K2:K13" si="3">_xlfn.IFS(
    COUNT(C2:F2) &lt; 4, "Missing input",
    MIN(C2:F2) &lt; 0, "Check negative value",
    F2 &gt; E2, "Check waste totals",
    TRUE, "Complete"
)</f>
        <v>Complete</v>
      </c>
      <c r="L2" s="1" t="s">
        <v>242</v>
      </c>
      <c r="M2" s="25">
        <v>0.1978</v>
      </c>
      <c r="N2" s="1">
        <v>2025</v>
      </c>
      <c r="O2" s="1" t="s">
        <v>243</v>
      </c>
      <c r="P2" s="2" t="s">
        <v>244</v>
      </c>
      <c r="Q2" s="1"/>
      <c r="R2" s="1"/>
      <c r="S2" s="1"/>
      <c r="T2" s="1"/>
      <c r="U2" s="1" t="str">
        <f t="shared" ref="U2:U13" si="4">TEXT(A2, "mmm")</f>
        <v>Jan</v>
      </c>
      <c r="V2" s="1">
        <f t="shared" ref="V2:V13" si="5">H2</f>
        <v>2373.6</v>
      </c>
      <c r="W2" s="1">
        <f t="shared" ref="W2:W13" si="6">I2</f>
        <v>3303</v>
      </c>
    </row>
    <row r="3" spans="1:23" ht="40.049999999999997" customHeight="1">
      <c r="A3" s="19">
        <v>45689</v>
      </c>
      <c r="B3" s="1" t="s">
        <v>81</v>
      </c>
      <c r="C3" s="11">
        <v>11200</v>
      </c>
      <c r="D3" s="11">
        <v>16000</v>
      </c>
      <c r="E3" s="11">
        <v>1100</v>
      </c>
      <c r="F3" s="11">
        <v>682</v>
      </c>
      <c r="G3" s="1" t="s">
        <v>49</v>
      </c>
      <c r="H3" s="21">
        <f t="shared" si="0"/>
        <v>2215.36</v>
      </c>
      <c r="I3" s="21">
        <f t="shared" si="1"/>
        <v>2936</v>
      </c>
      <c r="J3" s="23">
        <f t="shared" si="2"/>
        <v>0.62</v>
      </c>
      <c r="K3" s="10" t="str">
        <f t="shared" si="3"/>
        <v>Complete</v>
      </c>
      <c r="L3" s="1" t="s">
        <v>245</v>
      </c>
      <c r="M3" s="25">
        <v>0.1835</v>
      </c>
      <c r="N3" s="1">
        <v>2025</v>
      </c>
      <c r="O3" s="1" t="s">
        <v>243</v>
      </c>
      <c r="P3" s="2" t="s">
        <v>244</v>
      </c>
      <c r="Q3" s="1"/>
      <c r="R3" s="1"/>
      <c r="S3" s="1"/>
      <c r="T3" s="1"/>
      <c r="U3" s="1" t="str">
        <f t="shared" si="4"/>
        <v>Feb</v>
      </c>
      <c r="V3" s="1">
        <f t="shared" si="5"/>
        <v>2215.36</v>
      </c>
      <c r="W3" s="1">
        <f t="shared" si="6"/>
        <v>2936</v>
      </c>
    </row>
    <row r="4" spans="1:23" ht="25.05" customHeight="1">
      <c r="A4" s="18">
        <v>45717</v>
      </c>
      <c r="B4" s="3" t="s">
        <v>81</v>
      </c>
      <c r="C4" s="11">
        <v>10800</v>
      </c>
      <c r="D4" s="11">
        <v>13000</v>
      </c>
      <c r="E4" s="11">
        <v>1300</v>
      </c>
      <c r="F4" s="11">
        <v>819</v>
      </c>
      <c r="G4" s="3" t="s">
        <v>49</v>
      </c>
      <c r="H4" s="21">
        <f t="shared" si="0"/>
        <v>2136.2400000000002</v>
      </c>
      <c r="I4" s="21">
        <f t="shared" si="1"/>
        <v>2385.5</v>
      </c>
      <c r="J4" s="23">
        <f t="shared" si="2"/>
        <v>0.63</v>
      </c>
      <c r="K4" s="10" t="str">
        <f t="shared" si="3"/>
        <v>Complete</v>
      </c>
      <c r="L4" s="1"/>
      <c r="M4" s="1"/>
      <c r="N4" s="1"/>
      <c r="O4" s="1"/>
      <c r="P4" s="2"/>
      <c r="Q4" s="1"/>
      <c r="R4" s="1"/>
      <c r="S4" s="1"/>
      <c r="T4" s="1"/>
      <c r="U4" s="1" t="str">
        <f t="shared" si="4"/>
        <v>Mar</v>
      </c>
      <c r="V4" s="1">
        <f t="shared" si="5"/>
        <v>2136.2400000000002</v>
      </c>
      <c r="W4" s="1">
        <f t="shared" si="6"/>
        <v>2385.5</v>
      </c>
    </row>
    <row r="5" spans="1:23" ht="25.05" customHeight="1">
      <c r="A5" s="19">
        <v>45748</v>
      </c>
      <c r="B5" s="1" t="s">
        <v>81</v>
      </c>
      <c r="C5" s="11">
        <v>10200</v>
      </c>
      <c r="D5" s="11">
        <v>9000</v>
      </c>
      <c r="E5" s="11">
        <v>1500</v>
      </c>
      <c r="F5" s="11">
        <v>975</v>
      </c>
      <c r="G5" s="1" t="s">
        <v>49</v>
      </c>
      <c r="H5" s="21">
        <f t="shared" si="0"/>
        <v>2017.56</v>
      </c>
      <c r="I5" s="21">
        <f t="shared" si="1"/>
        <v>1651.5</v>
      </c>
      <c r="J5" s="23">
        <f t="shared" si="2"/>
        <v>0.65</v>
      </c>
      <c r="K5" s="10" t="str">
        <f t="shared" si="3"/>
        <v>Complete</v>
      </c>
      <c r="L5" s="1" t="s">
        <v>246</v>
      </c>
      <c r="M5" s="1" t="s">
        <v>244</v>
      </c>
      <c r="N5" s="1"/>
      <c r="O5" s="1"/>
      <c r="P5" s="2"/>
      <c r="Q5" s="1"/>
      <c r="R5" s="1"/>
      <c r="S5" s="1"/>
      <c r="T5" s="1"/>
      <c r="U5" s="1" t="str">
        <f t="shared" si="4"/>
        <v>Apr</v>
      </c>
      <c r="V5" s="1">
        <f t="shared" si="5"/>
        <v>2017.56</v>
      </c>
      <c r="W5" s="1">
        <f t="shared" si="6"/>
        <v>1651.5</v>
      </c>
    </row>
    <row r="6" spans="1:23" ht="25.05" customHeight="1">
      <c r="A6" s="18">
        <v>45778</v>
      </c>
      <c r="B6" s="3" t="s">
        <v>81</v>
      </c>
      <c r="C6" s="11">
        <v>10000</v>
      </c>
      <c r="D6" s="11">
        <v>5000</v>
      </c>
      <c r="E6" s="11">
        <v>1600</v>
      </c>
      <c r="F6" s="11">
        <v>1072</v>
      </c>
      <c r="G6" s="3" t="s">
        <v>49</v>
      </c>
      <c r="H6" s="21">
        <f t="shared" si="0"/>
        <v>1978</v>
      </c>
      <c r="I6" s="21">
        <f t="shared" si="1"/>
        <v>917.5</v>
      </c>
      <c r="J6" s="23">
        <f t="shared" si="2"/>
        <v>0.67</v>
      </c>
      <c r="K6" s="10" t="str">
        <f t="shared" si="3"/>
        <v>Complete</v>
      </c>
      <c r="L6" s="1"/>
      <c r="M6" s="1"/>
      <c r="N6" s="1"/>
      <c r="O6" s="1"/>
      <c r="P6" s="1"/>
      <c r="Q6" s="1"/>
      <c r="R6" s="1"/>
      <c r="S6" s="1"/>
      <c r="T6" s="1"/>
      <c r="U6" s="1" t="str">
        <f t="shared" si="4"/>
        <v>May</v>
      </c>
      <c r="V6" s="1">
        <f t="shared" si="5"/>
        <v>1978</v>
      </c>
      <c r="W6" s="1">
        <f t="shared" si="6"/>
        <v>917.5</v>
      </c>
    </row>
    <row r="7" spans="1:23" ht="25.05" customHeight="1">
      <c r="A7" s="19">
        <v>45809</v>
      </c>
      <c r="B7" s="1" t="s">
        <v>81</v>
      </c>
      <c r="C7" s="11">
        <v>9800</v>
      </c>
      <c r="D7" s="11">
        <v>2500</v>
      </c>
      <c r="E7" s="11">
        <v>1700</v>
      </c>
      <c r="F7" s="11">
        <v>1173</v>
      </c>
      <c r="G7" s="1" t="s">
        <v>49</v>
      </c>
      <c r="H7" s="21">
        <f t="shared" si="0"/>
        <v>1938.44</v>
      </c>
      <c r="I7" s="21">
        <f t="shared" si="1"/>
        <v>458.75</v>
      </c>
      <c r="J7" s="23">
        <f t="shared" si="2"/>
        <v>0.69</v>
      </c>
      <c r="K7" s="10" t="str">
        <f t="shared" si="3"/>
        <v>Complete</v>
      </c>
      <c r="L7" s="40" t="s">
        <v>247</v>
      </c>
      <c r="M7" s="40"/>
      <c r="N7" s="40"/>
      <c r="O7" s="40"/>
      <c r="P7" s="40"/>
      <c r="Q7" s="1"/>
      <c r="R7" s="1"/>
      <c r="S7" s="1"/>
      <c r="T7" s="1"/>
      <c r="U7" s="1" t="str">
        <f t="shared" si="4"/>
        <v>Jun</v>
      </c>
      <c r="V7" s="1">
        <f t="shared" si="5"/>
        <v>1938.44</v>
      </c>
      <c r="W7" s="1">
        <f t="shared" si="6"/>
        <v>458.75</v>
      </c>
    </row>
    <row r="8" spans="1:23" ht="25.05" customHeight="1">
      <c r="A8" s="18">
        <v>45839</v>
      </c>
      <c r="B8" s="3" t="s">
        <v>81</v>
      </c>
      <c r="C8" s="11">
        <v>10000</v>
      </c>
      <c r="D8" s="11">
        <v>1500</v>
      </c>
      <c r="E8" s="11">
        <v>1800</v>
      </c>
      <c r="F8" s="11">
        <v>1260</v>
      </c>
      <c r="G8" s="3" t="s">
        <v>49</v>
      </c>
      <c r="H8" s="21">
        <f t="shared" si="0"/>
        <v>1978</v>
      </c>
      <c r="I8" s="21">
        <f t="shared" si="1"/>
        <v>275.25</v>
      </c>
      <c r="J8" s="23">
        <f t="shared" si="2"/>
        <v>0.7</v>
      </c>
      <c r="K8" s="10" t="str">
        <f t="shared" si="3"/>
        <v>Complete</v>
      </c>
      <c r="L8" s="40"/>
      <c r="M8" s="40"/>
      <c r="N8" s="40"/>
      <c r="O8" s="40"/>
      <c r="P8" s="40"/>
      <c r="Q8" s="1"/>
      <c r="R8" s="1"/>
      <c r="S8" s="1"/>
      <c r="T8" s="1"/>
      <c r="U8" s="1" t="str">
        <f t="shared" si="4"/>
        <v>Jul</v>
      </c>
      <c r="V8" s="1">
        <f t="shared" si="5"/>
        <v>1978</v>
      </c>
      <c r="W8" s="1">
        <f t="shared" si="6"/>
        <v>275.25</v>
      </c>
    </row>
    <row r="9" spans="1:23" ht="25.05" customHeight="1">
      <c r="A9" s="19">
        <v>45870</v>
      </c>
      <c r="B9" s="1" t="s">
        <v>81</v>
      </c>
      <c r="C9" s="11">
        <v>10100</v>
      </c>
      <c r="D9" s="11">
        <v>1500</v>
      </c>
      <c r="E9" s="11">
        <v>1750</v>
      </c>
      <c r="F9" s="11">
        <v>1260</v>
      </c>
      <c r="G9" s="1" t="s">
        <v>49</v>
      </c>
      <c r="H9" s="21">
        <f t="shared" si="0"/>
        <v>1997.78</v>
      </c>
      <c r="I9" s="21">
        <f t="shared" si="1"/>
        <v>275.25</v>
      </c>
      <c r="J9" s="23">
        <f t="shared" si="2"/>
        <v>0.72</v>
      </c>
      <c r="K9" s="10" t="str">
        <f t="shared" si="3"/>
        <v>Complete</v>
      </c>
      <c r="L9" s="40"/>
      <c r="M9" s="40"/>
      <c r="N9" s="40"/>
      <c r="O9" s="40"/>
      <c r="P9" s="40"/>
      <c r="Q9" s="1"/>
      <c r="R9" s="1"/>
      <c r="S9" s="1"/>
      <c r="T9" s="1"/>
      <c r="U9" s="1" t="str">
        <f t="shared" si="4"/>
        <v>Aug</v>
      </c>
      <c r="V9" s="1">
        <f t="shared" si="5"/>
        <v>1997.78</v>
      </c>
      <c r="W9" s="1">
        <f t="shared" si="6"/>
        <v>275.25</v>
      </c>
    </row>
    <row r="10" spans="1:23" ht="25.05" customHeight="1">
      <c r="A10" s="18">
        <v>45901</v>
      </c>
      <c r="B10" s="3" t="s">
        <v>81</v>
      </c>
      <c r="C10" s="11">
        <v>10600</v>
      </c>
      <c r="D10" s="11">
        <v>4000</v>
      </c>
      <c r="E10" s="11">
        <v>1500</v>
      </c>
      <c r="F10" s="11">
        <v>1095</v>
      </c>
      <c r="G10" s="3" t="s">
        <v>49</v>
      </c>
      <c r="H10" s="21">
        <f t="shared" si="0"/>
        <v>2096.6799999999998</v>
      </c>
      <c r="I10" s="21">
        <f t="shared" si="1"/>
        <v>734</v>
      </c>
      <c r="J10" s="23">
        <f t="shared" si="2"/>
        <v>0.73</v>
      </c>
      <c r="K10" s="10" t="str">
        <f t="shared" si="3"/>
        <v>Complete</v>
      </c>
      <c r="L10" s="1"/>
      <c r="M10" s="1"/>
      <c r="N10" s="1"/>
      <c r="O10" s="1"/>
      <c r="P10" s="1"/>
      <c r="Q10" s="1"/>
      <c r="R10" s="1"/>
      <c r="S10" s="1"/>
      <c r="T10" s="1"/>
      <c r="U10" s="1" t="str">
        <f t="shared" si="4"/>
        <v>Sep</v>
      </c>
      <c r="V10" s="1">
        <f t="shared" si="5"/>
        <v>2096.6799999999998</v>
      </c>
      <c r="W10" s="1">
        <f t="shared" si="6"/>
        <v>734</v>
      </c>
    </row>
    <row r="11" spans="1:23" ht="25.05" customHeight="1">
      <c r="A11" s="19">
        <v>45931</v>
      </c>
      <c r="B11" s="1" t="s">
        <v>81</v>
      </c>
      <c r="C11" s="11">
        <v>11400</v>
      </c>
      <c r="D11" s="11">
        <v>8000</v>
      </c>
      <c r="E11" s="11">
        <v>1400</v>
      </c>
      <c r="F11" s="11">
        <v>1036</v>
      </c>
      <c r="G11" s="1" t="s">
        <v>49</v>
      </c>
      <c r="H11" s="21">
        <f t="shared" si="0"/>
        <v>2254.92</v>
      </c>
      <c r="I11" s="21">
        <f t="shared" si="1"/>
        <v>1468</v>
      </c>
      <c r="J11" s="23">
        <f t="shared" si="2"/>
        <v>0.74</v>
      </c>
      <c r="K11" s="10" t="str">
        <f t="shared" si="3"/>
        <v>Complete</v>
      </c>
      <c r="L11" s="40" t="s">
        <v>248</v>
      </c>
      <c r="M11" s="40"/>
      <c r="N11" s="40"/>
      <c r="O11" s="40"/>
      <c r="P11" s="40"/>
      <c r="Q11" s="1"/>
      <c r="R11" s="1"/>
      <c r="S11" s="1"/>
      <c r="T11" s="1"/>
      <c r="U11" s="1" t="str">
        <f t="shared" si="4"/>
        <v>Oct</v>
      </c>
      <c r="V11" s="1">
        <f t="shared" si="5"/>
        <v>2254.92</v>
      </c>
      <c r="W11" s="1">
        <f t="shared" si="6"/>
        <v>1468</v>
      </c>
    </row>
    <row r="12" spans="1:23" ht="25.05" customHeight="1">
      <c r="A12" s="18">
        <v>45962</v>
      </c>
      <c r="B12" s="3" t="s">
        <v>81</v>
      </c>
      <c r="C12" s="11">
        <v>12200</v>
      </c>
      <c r="D12" s="11">
        <v>13000</v>
      </c>
      <c r="E12" s="11">
        <v>1500</v>
      </c>
      <c r="F12" s="11">
        <v>1140</v>
      </c>
      <c r="G12" s="3" t="s">
        <v>49</v>
      </c>
      <c r="H12" s="21">
        <f t="shared" si="0"/>
        <v>2413.16</v>
      </c>
      <c r="I12" s="21">
        <f t="shared" si="1"/>
        <v>2385.5</v>
      </c>
      <c r="J12" s="23">
        <f t="shared" si="2"/>
        <v>0.76</v>
      </c>
      <c r="K12" s="10" t="str">
        <f t="shared" si="3"/>
        <v>Complete</v>
      </c>
      <c r="L12" s="40"/>
      <c r="M12" s="40"/>
      <c r="N12" s="40"/>
      <c r="O12" s="40"/>
      <c r="P12" s="40"/>
      <c r="Q12" s="1"/>
      <c r="R12" s="1"/>
      <c r="S12" s="1"/>
      <c r="T12" s="1"/>
      <c r="U12" s="1" t="str">
        <f t="shared" si="4"/>
        <v>Nov</v>
      </c>
      <c r="V12" s="1">
        <f t="shared" si="5"/>
        <v>2413.16</v>
      </c>
      <c r="W12" s="1">
        <f t="shared" si="6"/>
        <v>2385.5</v>
      </c>
    </row>
    <row r="13" spans="1:23" ht="25.05" customHeight="1">
      <c r="A13" s="19">
        <v>45992</v>
      </c>
      <c r="B13" s="1" t="s">
        <v>81</v>
      </c>
      <c r="C13" s="11">
        <v>13000</v>
      </c>
      <c r="D13" s="11">
        <v>17000</v>
      </c>
      <c r="E13" s="11">
        <v>1800</v>
      </c>
      <c r="F13" s="11">
        <v>1404</v>
      </c>
      <c r="G13" s="1" t="s">
        <v>49</v>
      </c>
      <c r="H13" s="21">
        <f t="shared" si="0"/>
        <v>2571.4</v>
      </c>
      <c r="I13" s="21">
        <f t="shared" si="1"/>
        <v>3119.5</v>
      </c>
      <c r="J13" s="23">
        <f t="shared" si="2"/>
        <v>0.78</v>
      </c>
      <c r="K13" s="10" t="str">
        <f t="shared" si="3"/>
        <v>Complete</v>
      </c>
      <c r="L13" s="40"/>
      <c r="M13" s="40"/>
      <c r="N13" s="40"/>
      <c r="O13" s="40"/>
      <c r="P13" s="40"/>
      <c r="Q13" s="1"/>
      <c r="R13" s="1"/>
      <c r="S13" s="1"/>
      <c r="T13" s="1"/>
      <c r="U13" s="1" t="str">
        <f t="shared" si="4"/>
        <v>Dec</v>
      </c>
      <c r="V13" s="1">
        <f t="shared" si="5"/>
        <v>2571.4</v>
      </c>
      <c r="W13" s="1">
        <f t="shared" si="6"/>
        <v>3119.5</v>
      </c>
    </row>
    <row r="14" spans="1:23" ht="25.05" customHeight="1">
      <c r="A14" s="17" t="s">
        <v>249</v>
      </c>
      <c r="B14" s="17"/>
      <c r="C14" s="20">
        <f>IF(OR(COUNT(C2:C13) &lt;&gt; 12, MIN(C2:C13) &lt; 0), "Incomplete", SUM(C2:C13))</f>
        <v>131300</v>
      </c>
      <c r="D14" s="20">
        <f>IF(OR(COUNT(D2:D13) &lt;&gt; 12, MIN(D2:D13) &lt; 0), "Incomplete", SUM(D2:D13))</f>
        <v>108500</v>
      </c>
      <c r="E14" s="20">
        <f>IF(OR(COUNT(E2:E13) &lt;&gt; 12, MIN(E2:E13) &lt; 0), "Incomplete", SUM(E2:E13))</f>
        <v>18150</v>
      </c>
      <c r="F14" s="20">
        <f>IF(OR(COUNT(F2:F13) &lt;&gt; 12, MIN(F2:F13) &lt; 0), "Incomplete", SUM(F2:F13))</f>
        <v>12636</v>
      </c>
      <c r="G14" s="17"/>
      <c r="H14" s="22">
        <f>IF(OR(COUNT(H2:H13) &lt;&gt; 12, MIN(H2:H13) &lt; 0), "Incomplete", SUM(H2:H13))</f>
        <v>25971.140000000003</v>
      </c>
      <c r="I14" s="22">
        <f>IF(OR(COUNT(I2:I13) &lt;&gt; 12, MIN(I2:I13) &lt; 0), "Incomplete", SUM(I2:I13))</f>
        <v>19909.75</v>
      </c>
      <c r="J14" s="24">
        <f>IF(COUNTIFS(K2:K13, "Complete") &lt;&gt; 12, "Check records", IF(E14 = 0, "n.a.", F14 / E14))</f>
        <v>0.696198347107438</v>
      </c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 t="s">
        <v>250</v>
      </c>
      <c r="M15" s="26">
        <v>46292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5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5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5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</sheetData>
  <mergeCells count="2">
    <mergeCell ref="L7:P9"/>
    <mergeCell ref="L11:P13"/>
  </mergeCells>
  <conditionalFormatting sqref="K2:K13">
    <cfRule type="containsText" dxfId="7" priority="1" operator="containsText" text="Overdue"/>
    <cfRule type="containsText" dxfId="6" priority="2" operator="containsText" text="Missing"/>
    <cfRule type="containsText" dxfId="5" priority="6" operator="containsText" text="Check"/>
    <cfRule type="containsText" dxfId="4" priority="7" operator="containsText" text="Not assesse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D963D"/>
  </sheetPr>
  <dimension ref="A1:U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7" customWidth="1"/>
    <col min="2" max="2" width="27" customWidth="1"/>
    <col min="3" max="3" width="38" customWidth="1"/>
    <col min="4" max="4" width="57" customWidth="1"/>
    <col min="5" max="5" width="26" customWidth="1"/>
    <col min="6" max="6" width="20" customWidth="1"/>
    <col min="7" max="7" width="29" customWidth="1"/>
    <col min="8" max="8" width="58" customWidth="1"/>
    <col min="9" max="9" width="23" customWidth="1"/>
    <col min="10" max="10" width="21" customWidth="1"/>
    <col min="11" max="11" width="24" customWidth="1"/>
    <col min="12" max="12" width="75" customWidth="1"/>
    <col min="13" max="14" width="20" customWidth="1"/>
    <col min="15" max="15" width="27" customWidth="1"/>
    <col min="16" max="16" width="23" customWidth="1"/>
    <col min="17" max="17" width="78" customWidth="1"/>
    <col min="18" max="18" width="3" customWidth="1"/>
    <col min="19" max="19" width="31" customWidth="1"/>
    <col min="20" max="20" width="19" customWidth="1"/>
    <col min="21" max="21" width="3" customWidth="1"/>
  </cols>
  <sheetData>
    <row r="1" spans="1:21" ht="42" customHeight="1">
      <c r="A1" s="4" t="s">
        <v>251</v>
      </c>
      <c r="B1" s="4" t="s">
        <v>30</v>
      </c>
      <c r="C1" s="4" t="s">
        <v>252</v>
      </c>
      <c r="D1" s="4" t="s">
        <v>253</v>
      </c>
      <c r="E1" s="4" t="s">
        <v>254</v>
      </c>
      <c r="F1" s="4" t="s">
        <v>255</v>
      </c>
      <c r="G1" s="4" t="s">
        <v>33</v>
      </c>
      <c r="H1" s="4" t="s">
        <v>256</v>
      </c>
      <c r="I1" s="4" t="s">
        <v>257</v>
      </c>
      <c r="J1" s="4" t="s">
        <v>29</v>
      </c>
      <c r="K1" s="4" t="s">
        <v>246</v>
      </c>
      <c r="L1" s="4" t="s">
        <v>239</v>
      </c>
      <c r="M1" s="4" t="s">
        <v>258</v>
      </c>
      <c r="N1" s="4" t="s">
        <v>259</v>
      </c>
      <c r="O1" s="4" t="s">
        <v>260</v>
      </c>
      <c r="P1" s="4" t="s">
        <v>261</v>
      </c>
      <c r="Q1" s="4" t="s">
        <v>262</v>
      </c>
      <c r="R1" s="1"/>
      <c r="S1" s="4" t="s">
        <v>263</v>
      </c>
      <c r="T1" s="4" t="s">
        <v>45</v>
      </c>
      <c r="U1" s="1"/>
    </row>
    <row r="2" spans="1:21" ht="70.05" customHeight="1">
      <c r="A2" s="5" t="s">
        <v>71</v>
      </c>
      <c r="B2" s="5" t="s">
        <v>264</v>
      </c>
      <c r="C2" s="5" t="s">
        <v>265</v>
      </c>
      <c r="D2" s="5" t="s">
        <v>266</v>
      </c>
      <c r="E2" s="5" t="s">
        <v>267</v>
      </c>
      <c r="F2" s="27">
        <v>46292</v>
      </c>
      <c r="G2" s="5" t="s">
        <v>73</v>
      </c>
      <c r="H2" s="5" t="s">
        <v>268</v>
      </c>
      <c r="I2" s="6" t="s">
        <v>269</v>
      </c>
      <c r="J2" s="5" t="s">
        <v>69</v>
      </c>
      <c r="K2" s="5" t="s">
        <v>270</v>
      </c>
      <c r="L2" s="5" t="s">
        <v>271</v>
      </c>
      <c r="M2" s="27">
        <v>46292</v>
      </c>
      <c r="N2" s="27">
        <v>46322</v>
      </c>
      <c r="O2" s="7" t="str">
        <f>IF(F2 = "", "Ongoing", IF(Dashboard!$C$4 &gt;= F2, "Application date reached", "Upcoming"))</f>
        <v>Application date reached</v>
      </c>
      <c r="P2" s="7">
        <f>IF(F2 = "", "", MAX(0, F2 - Dashboard!$C$4))</f>
        <v>0</v>
      </c>
      <c r="Q2" s="5" t="s">
        <v>272</v>
      </c>
      <c r="R2" s="1"/>
      <c r="S2" s="1" t="s">
        <v>273</v>
      </c>
      <c r="T2" s="1">
        <f>COUNTA(A2:A7)</f>
        <v>6</v>
      </c>
      <c r="U2" s="1"/>
    </row>
    <row r="3" spans="1:21" ht="70.05" customHeight="1">
      <c r="A3" s="2" t="s">
        <v>100</v>
      </c>
      <c r="B3" s="2" t="s">
        <v>274</v>
      </c>
      <c r="C3" s="2" t="s">
        <v>275</v>
      </c>
      <c r="D3" s="2" t="s">
        <v>276</v>
      </c>
      <c r="E3" s="2" t="s">
        <v>277</v>
      </c>
      <c r="F3" s="28">
        <v>46246</v>
      </c>
      <c r="G3" s="2" t="s">
        <v>78</v>
      </c>
      <c r="H3" s="2" t="s">
        <v>278</v>
      </c>
      <c r="I3" s="6" t="s">
        <v>269</v>
      </c>
      <c r="J3" s="2" t="s">
        <v>98</v>
      </c>
      <c r="K3" s="2" t="s">
        <v>279</v>
      </c>
      <c r="L3" s="2" t="s">
        <v>280</v>
      </c>
      <c r="M3" s="28">
        <v>46292</v>
      </c>
      <c r="N3" s="28">
        <v>46322</v>
      </c>
      <c r="O3" s="7" t="str">
        <f>IF(F3 = "", "Ongoing", IF(Dashboard!$C$4 &gt;= F3, "Application date reached", "Upcoming"))</f>
        <v>Application date reached</v>
      </c>
      <c r="P3" s="7">
        <f>IF(F3 = "", "", MAX(0, F3 - Dashboard!$C$4))</f>
        <v>0</v>
      </c>
      <c r="Q3" s="2" t="s">
        <v>281</v>
      </c>
      <c r="R3" s="1"/>
      <c r="S3" s="1" t="s">
        <v>269</v>
      </c>
      <c r="T3" s="1">
        <f>COUNTIFS(I2:I7, "Not assessed")</f>
        <v>6</v>
      </c>
      <c r="U3" s="1"/>
    </row>
    <row r="4" spans="1:21" ht="70.05" customHeight="1">
      <c r="A4" s="5" t="s">
        <v>76</v>
      </c>
      <c r="B4" s="5" t="s">
        <v>282</v>
      </c>
      <c r="C4" s="5" t="s">
        <v>283</v>
      </c>
      <c r="D4" s="5" t="s">
        <v>284</v>
      </c>
      <c r="E4" s="5" t="s">
        <v>285</v>
      </c>
      <c r="F4" s="27">
        <v>46386</v>
      </c>
      <c r="G4" s="5" t="s">
        <v>286</v>
      </c>
      <c r="H4" s="5" t="s">
        <v>287</v>
      </c>
      <c r="I4" s="6" t="s">
        <v>269</v>
      </c>
      <c r="J4" s="5" t="s">
        <v>74</v>
      </c>
      <c r="K4" s="5" t="s">
        <v>279</v>
      </c>
      <c r="L4" s="5" t="s">
        <v>288</v>
      </c>
      <c r="M4" s="27">
        <v>46292</v>
      </c>
      <c r="N4" s="27">
        <v>46322</v>
      </c>
      <c r="O4" s="7" t="str">
        <f>IF(F4 = "", "Ongoing", IF(Dashboard!$C$4 &gt;= F4, "Application date reached", "Upcoming"))</f>
        <v>Upcoming</v>
      </c>
      <c r="P4" s="7">
        <f>IF(F4 = "", "", MAX(0, F4 - Dashboard!$C$4))</f>
        <v>94</v>
      </c>
      <c r="Q4" s="5" t="s">
        <v>289</v>
      </c>
      <c r="R4" s="1"/>
      <c r="S4" s="1" t="s">
        <v>290</v>
      </c>
      <c r="T4" s="1">
        <f>COUNTIFS(N2:N7, "&lt;" &amp; Dashboard!$C$4)</f>
        <v>0</v>
      </c>
      <c r="U4" s="1"/>
    </row>
    <row r="5" spans="1:21" ht="70.05" customHeight="1">
      <c r="A5" s="2" t="s">
        <v>291</v>
      </c>
      <c r="B5" s="2" t="s">
        <v>292</v>
      </c>
      <c r="C5" s="2" t="s">
        <v>293</v>
      </c>
      <c r="D5" s="2" t="s">
        <v>294</v>
      </c>
      <c r="E5" s="2" t="s">
        <v>295</v>
      </c>
      <c r="F5" s="28"/>
      <c r="G5" s="2" t="s">
        <v>133</v>
      </c>
      <c r="H5" s="2" t="s">
        <v>296</v>
      </c>
      <c r="I5" s="6" t="s">
        <v>269</v>
      </c>
      <c r="J5" s="2" t="s">
        <v>51</v>
      </c>
      <c r="K5" s="2" t="s">
        <v>297</v>
      </c>
      <c r="L5" s="2" t="s">
        <v>298</v>
      </c>
      <c r="M5" s="28">
        <v>46292</v>
      </c>
      <c r="N5" s="28">
        <v>46322</v>
      </c>
      <c r="O5" s="7" t="str">
        <f>IF(F5 = "", "Ongoing", IF(Dashboard!$C$4 &gt;= F5, "Application date reached", "Upcoming"))</f>
        <v>Ongoing</v>
      </c>
      <c r="P5" s="7" t="str">
        <f>IF(F5 = "", "", MAX(0, F5 - Dashboard!$C$4))</f>
        <v/>
      </c>
      <c r="Q5" s="2" t="s">
        <v>299</v>
      </c>
      <c r="R5" s="1"/>
      <c r="S5" s="1"/>
      <c r="T5" s="1"/>
      <c r="U5" s="1"/>
    </row>
    <row r="6" spans="1:21" ht="70.05" customHeight="1">
      <c r="A6" s="5" t="s">
        <v>95</v>
      </c>
      <c r="B6" s="5" t="s">
        <v>300</v>
      </c>
      <c r="C6" s="5" t="s">
        <v>301</v>
      </c>
      <c r="D6" s="5" t="s">
        <v>302</v>
      </c>
      <c r="E6" s="5" t="s">
        <v>295</v>
      </c>
      <c r="F6" s="27"/>
      <c r="G6" s="5" t="s">
        <v>97</v>
      </c>
      <c r="H6" s="5" t="s">
        <v>303</v>
      </c>
      <c r="I6" s="6" t="s">
        <v>269</v>
      </c>
      <c r="J6" s="5" t="s">
        <v>93</v>
      </c>
      <c r="K6" s="5" t="s">
        <v>304</v>
      </c>
      <c r="L6" s="5" t="s">
        <v>305</v>
      </c>
      <c r="M6" s="27">
        <v>46292</v>
      </c>
      <c r="N6" s="27">
        <v>46322</v>
      </c>
      <c r="O6" s="7" t="str">
        <f>IF(F6 = "", "Ongoing", IF(Dashboard!$C$4 &gt;= F6, "Application date reached", "Upcoming"))</f>
        <v>Ongoing</v>
      </c>
      <c r="P6" s="7" t="str">
        <f>IF(F6 = "", "", MAX(0, F6 - Dashboard!$C$4))</f>
        <v/>
      </c>
      <c r="Q6" s="5" t="s">
        <v>306</v>
      </c>
      <c r="R6" s="1"/>
      <c r="S6" s="40" t="s">
        <v>307</v>
      </c>
      <c r="T6" s="40"/>
      <c r="U6" s="1"/>
    </row>
    <row r="7" spans="1:21" ht="70.05" customHeight="1">
      <c r="A7" s="2" t="s">
        <v>90</v>
      </c>
      <c r="B7" s="2" t="s">
        <v>308</v>
      </c>
      <c r="C7" s="2" t="s">
        <v>309</v>
      </c>
      <c r="D7" s="2" t="s">
        <v>310</v>
      </c>
      <c r="E7" s="2" t="s">
        <v>295</v>
      </c>
      <c r="F7" s="28"/>
      <c r="G7" s="2" t="s">
        <v>92</v>
      </c>
      <c r="H7" s="2" t="s">
        <v>311</v>
      </c>
      <c r="I7" s="6" t="s">
        <v>269</v>
      </c>
      <c r="J7" s="2" t="s">
        <v>88</v>
      </c>
      <c r="K7" s="2" t="s">
        <v>297</v>
      </c>
      <c r="L7" s="2" t="s">
        <v>312</v>
      </c>
      <c r="M7" s="28">
        <v>46292</v>
      </c>
      <c r="N7" s="28">
        <v>46322</v>
      </c>
      <c r="O7" s="7" t="str">
        <f>IF(F7 = "", "Ongoing", IF(Dashboard!$C$4 &gt;= F7, "Application date reached", "Upcoming"))</f>
        <v>Ongoing</v>
      </c>
      <c r="P7" s="7" t="str">
        <f>IF(F7 = "", "", MAX(0, F7 - Dashboard!$C$4))</f>
        <v/>
      </c>
      <c r="Q7" s="2" t="s">
        <v>313</v>
      </c>
      <c r="R7" s="1"/>
      <c r="S7" s="40"/>
      <c r="T7" s="40"/>
      <c r="U7" s="1"/>
    </row>
    <row r="8" spans="1:21" ht="25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40"/>
      <c r="T8" s="40"/>
      <c r="U8" s="1"/>
    </row>
    <row r="9" spans="1:21" ht="25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0"/>
      <c r="T9" s="40"/>
      <c r="U9" s="1"/>
    </row>
    <row r="10" spans="1:21" ht="25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0"/>
      <c r="T10" s="40"/>
      <c r="U10" s="1"/>
    </row>
    <row r="11" spans="1:21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5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</sheetData>
  <mergeCells count="1">
    <mergeCell ref="S6:T10"/>
  </mergeCells>
  <conditionalFormatting sqref="I2:I501">
    <cfRule type="containsText" dxfId="3" priority="1" operator="containsText" text="Overdue"/>
    <cfRule type="containsText" dxfId="2" priority="2" operator="containsText" text="Missing"/>
    <cfRule type="containsText" dxfId="1" priority="6" operator="containsText" text="Check"/>
    <cfRule type="containsText" dxfId="0" priority="7" operator="containsText" text="Not assessed"/>
  </conditionalFormatting>
  <dataValidations count="1">
    <dataValidation type="list" sqref="I2:I501" xr:uid="{00000000-0002-0000-0600-000000000000}">
      <formula1>"Not assessed,In progress,Evidence reviewed,Not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D963D"/>
  </sheetPr>
  <dimension ref="A1:R22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4" customWidth="1"/>
    <col min="2" max="2" width="17" customWidth="1"/>
    <col min="3" max="3" width="40" customWidth="1"/>
    <col min="4" max="4" width="24" customWidth="1"/>
    <col min="5" max="5" width="15" customWidth="1"/>
    <col min="6" max="6" width="17" customWidth="1"/>
    <col min="7" max="7" width="20" customWidth="1"/>
    <col min="8" max="9" width="23" customWidth="1"/>
    <col min="10" max="10" width="24" customWidth="1"/>
    <col min="11" max="11" width="25" customWidth="1"/>
    <col min="12" max="12" width="23" customWidth="1"/>
    <col min="13" max="13" width="25" customWidth="1"/>
    <col min="14" max="14" width="48" customWidth="1"/>
    <col min="15" max="15" width="28" customWidth="1"/>
    <col min="16" max="16" width="3" customWidth="1"/>
    <col min="17" max="17" width="31" customWidth="1"/>
    <col min="18" max="18" width="19" customWidth="1"/>
  </cols>
  <sheetData>
    <row r="1" spans="1:18" ht="42" customHeight="1">
      <c r="A1" s="4" t="s">
        <v>314</v>
      </c>
      <c r="B1" s="4" t="s">
        <v>29</v>
      </c>
      <c r="C1" s="4" t="s">
        <v>315</v>
      </c>
      <c r="D1" s="4" t="s">
        <v>316</v>
      </c>
      <c r="E1" s="4" t="s">
        <v>317</v>
      </c>
      <c r="F1" s="4" t="s">
        <v>318</v>
      </c>
      <c r="G1" s="4" t="s">
        <v>319</v>
      </c>
      <c r="H1" s="4" t="s">
        <v>320</v>
      </c>
      <c r="I1" s="4" t="s">
        <v>321</v>
      </c>
      <c r="J1" s="4" t="s">
        <v>322</v>
      </c>
      <c r="K1" s="4" t="s">
        <v>323</v>
      </c>
      <c r="L1" s="4" t="s">
        <v>324</v>
      </c>
      <c r="M1" s="4" t="s">
        <v>325</v>
      </c>
      <c r="N1" s="4" t="s">
        <v>326</v>
      </c>
      <c r="O1" s="4" t="s">
        <v>33</v>
      </c>
      <c r="P1" s="1"/>
      <c r="Q1" s="4" t="s">
        <v>327</v>
      </c>
      <c r="R1" s="4" t="s">
        <v>45</v>
      </c>
    </row>
    <row r="2" spans="1:18" ht="52.05" customHeight="1">
      <c r="A2" s="5" t="s">
        <v>328</v>
      </c>
      <c r="B2" s="5" t="s">
        <v>46</v>
      </c>
      <c r="C2" s="5" t="s">
        <v>329</v>
      </c>
      <c r="D2" s="5" t="s">
        <v>330</v>
      </c>
      <c r="E2" s="6">
        <v>10</v>
      </c>
      <c r="F2" s="6" t="s">
        <v>331</v>
      </c>
      <c r="G2" s="31">
        <v>35</v>
      </c>
      <c r="H2" s="32">
        <f t="shared" ref="H2:H11" si="0">IF(COUNT(E2, G2) &lt; 2, "Incomplete", E2 * G2)</f>
        <v>350</v>
      </c>
      <c r="I2" s="33">
        <f t="shared" ref="I2:I11" si="1">$R$2</f>
        <v>0.1</v>
      </c>
      <c r="J2" s="32">
        <f t="shared" ref="J2:J11" si="2">IF(COUNT(H2, I2) &lt; 2, "Incomplete", H2 * I2)</f>
        <v>35</v>
      </c>
      <c r="K2" s="32">
        <f t="shared" ref="K2:K11" si="3">IF(COUNT(H2, J2) &lt; 2, "Incomplete", H2 + J2)</f>
        <v>385</v>
      </c>
      <c r="L2" s="31"/>
      <c r="M2" s="32" t="str">
        <f t="shared" ref="M2:M11" si="4">IF(COUNT(L2, K2) &lt; 2, "", L2 - K2)</f>
        <v/>
      </c>
      <c r="N2" s="5" t="s">
        <v>332</v>
      </c>
      <c r="O2" s="5" t="str">
        <f>_xlfn.XLOOKUP(B2, Actions!$A$2:$A$14, Actions!$E$2:$E$14, "Check action ID")</f>
        <v>Garden Category Manager</v>
      </c>
      <c r="P2" s="1"/>
      <c r="Q2" s="1" t="s">
        <v>333</v>
      </c>
      <c r="R2" s="30">
        <v>0.1</v>
      </c>
    </row>
    <row r="3" spans="1:18" ht="52.05" customHeight="1">
      <c r="A3" s="2" t="s">
        <v>334</v>
      </c>
      <c r="B3" s="2" t="s">
        <v>62</v>
      </c>
      <c r="C3" s="2" t="s">
        <v>335</v>
      </c>
      <c r="D3" s="2" t="s">
        <v>330</v>
      </c>
      <c r="E3" s="6">
        <v>8</v>
      </c>
      <c r="F3" s="6" t="s">
        <v>331</v>
      </c>
      <c r="G3" s="31">
        <v>30</v>
      </c>
      <c r="H3" s="32">
        <f t="shared" si="0"/>
        <v>240</v>
      </c>
      <c r="I3" s="33">
        <f t="shared" si="1"/>
        <v>0.1</v>
      </c>
      <c r="J3" s="32">
        <f t="shared" si="2"/>
        <v>24</v>
      </c>
      <c r="K3" s="32">
        <f t="shared" si="3"/>
        <v>264</v>
      </c>
      <c r="L3" s="31"/>
      <c r="M3" s="32" t="str">
        <f t="shared" si="4"/>
        <v/>
      </c>
      <c r="N3" s="2" t="s">
        <v>332</v>
      </c>
      <c r="O3" s="2" t="str">
        <f>_xlfn.XLOOKUP(B3, Actions!$A$2:$A$14, Actions!$E$2:$E$14, "Check action ID")</f>
        <v>Commercial and Suppliers</v>
      </c>
      <c r="P3" s="1"/>
      <c r="Q3" s="1" t="s">
        <v>336</v>
      </c>
      <c r="R3" s="34">
        <f>K12</f>
        <v>3806</v>
      </c>
    </row>
    <row r="4" spans="1:18" ht="52.05" customHeight="1">
      <c r="A4" s="5" t="s">
        <v>337</v>
      </c>
      <c r="B4" s="5" t="s">
        <v>69</v>
      </c>
      <c r="C4" s="5" t="s">
        <v>338</v>
      </c>
      <c r="D4" s="5" t="s">
        <v>330</v>
      </c>
      <c r="E4" s="6">
        <v>8</v>
      </c>
      <c r="F4" s="6" t="s">
        <v>331</v>
      </c>
      <c r="G4" s="31">
        <v>60</v>
      </c>
      <c r="H4" s="32">
        <f t="shared" si="0"/>
        <v>480</v>
      </c>
      <c r="I4" s="33">
        <f t="shared" si="1"/>
        <v>0.1</v>
      </c>
      <c r="J4" s="32">
        <f t="shared" si="2"/>
        <v>48</v>
      </c>
      <c r="K4" s="32">
        <f t="shared" si="3"/>
        <v>528</v>
      </c>
      <c r="L4" s="31"/>
      <c r="M4" s="32" t="str">
        <f t="shared" si="4"/>
        <v/>
      </c>
      <c r="N4" s="5" t="s">
        <v>332</v>
      </c>
      <c r="O4" s="5" t="str">
        <f>_xlfn.XLOOKUP(B4, Actions!$A$2:$A$14, Actions!$E$2:$E$14, "Check action ID")</f>
        <v>Commercial and Marketing</v>
      </c>
      <c r="P4" s="1"/>
      <c r="Q4" s="1" t="s">
        <v>339</v>
      </c>
      <c r="R4" s="34">
        <f>SUMIFS(K2:K11, D2:D11, "Staff time")</f>
        <v>3674</v>
      </c>
    </row>
    <row r="5" spans="1:18" ht="52.05" customHeight="1">
      <c r="A5" s="2" t="s">
        <v>340</v>
      </c>
      <c r="B5" s="2" t="s">
        <v>74</v>
      </c>
      <c r="C5" s="2" t="s">
        <v>341</v>
      </c>
      <c r="D5" s="2" t="s">
        <v>330</v>
      </c>
      <c r="E5" s="6">
        <v>12</v>
      </c>
      <c r="F5" s="6" t="s">
        <v>331</v>
      </c>
      <c r="G5" s="31">
        <v>45</v>
      </c>
      <c r="H5" s="32">
        <f t="shared" si="0"/>
        <v>540</v>
      </c>
      <c r="I5" s="33">
        <f t="shared" si="1"/>
        <v>0.1</v>
      </c>
      <c r="J5" s="32">
        <f t="shared" si="2"/>
        <v>54</v>
      </c>
      <c r="K5" s="32">
        <f t="shared" si="3"/>
        <v>594</v>
      </c>
      <c r="L5" s="31"/>
      <c r="M5" s="32" t="str">
        <f t="shared" si="4"/>
        <v/>
      </c>
      <c r="N5" s="2" t="s">
        <v>332</v>
      </c>
      <c r="O5" s="2" t="str">
        <f>_xlfn.XLOOKUP(B5, Actions!$A$2:$A$14, Actions!$E$2:$E$14, "Check action ID")</f>
        <v>Sustainability Manager</v>
      </c>
      <c r="P5" s="1"/>
      <c r="Q5" s="1" t="s">
        <v>342</v>
      </c>
      <c r="R5" s="34">
        <f>SUMIFS(K2:K11, D2:D11, "Equipment")</f>
        <v>132</v>
      </c>
    </row>
    <row r="6" spans="1:18" ht="52.05" customHeight="1">
      <c r="A6" s="5" t="s">
        <v>343</v>
      </c>
      <c r="B6" s="5" t="s">
        <v>79</v>
      </c>
      <c r="C6" s="5" t="s">
        <v>344</v>
      </c>
      <c r="D6" s="5" t="s">
        <v>330</v>
      </c>
      <c r="E6" s="6">
        <v>6</v>
      </c>
      <c r="F6" s="6" t="s">
        <v>331</v>
      </c>
      <c r="G6" s="31">
        <v>35</v>
      </c>
      <c r="H6" s="32">
        <f t="shared" si="0"/>
        <v>210</v>
      </c>
      <c r="I6" s="33">
        <f t="shared" si="1"/>
        <v>0.1</v>
      </c>
      <c r="J6" s="32">
        <f t="shared" si="2"/>
        <v>21</v>
      </c>
      <c r="K6" s="32">
        <f t="shared" si="3"/>
        <v>231</v>
      </c>
      <c r="L6" s="31"/>
      <c r="M6" s="32" t="str">
        <f t="shared" si="4"/>
        <v/>
      </c>
      <c r="N6" s="5" t="s">
        <v>332</v>
      </c>
      <c r="O6" s="5" t="str">
        <f>_xlfn.XLOOKUP(B6, Actions!$A$2:$A$14, Actions!$E$2:$E$14, "Check action ID")</f>
        <v>Operations and Finance</v>
      </c>
      <c r="P6" s="1"/>
      <c r="Q6" s="1" t="s">
        <v>345</v>
      </c>
      <c r="R6" s="1">
        <f>COUNT(L2:L11)</f>
        <v>0</v>
      </c>
    </row>
    <row r="7" spans="1:18" ht="52.05" customHeight="1">
      <c r="A7" s="2" t="s">
        <v>346</v>
      </c>
      <c r="B7" s="2" t="s">
        <v>85</v>
      </c>
      <c r="C7" s="2" t="s">
        <v>347</v>
      </c>
      <c r="D7" s="2" t="s">
        <v>330</v>
      </c>
      <c r="E7" s="6">
        <v>8</v>
      </c>
      <c r="F7" s="6" t="s">
        <v>331</v>
      </c>
      <c r="G7" s="31">
        <v>60</v>
      </c>
      <c r="H7" s="32">
        <f t="shared" si="0"/>
        <v>480</v>
      </c>
      <c r="I7" s="33">
        <f t="shared" si="1"/>
        <v>0.1</v>
      </c>
      <c r="J7" s="32">
        <f t="shared" si="2"/>
        <v>48</v>
      </c>
      <c r="K7" s="32">
        <f t="shared" si="3"/>
        <v>528</v>
      </c>
      <c r="L7" s="31"/>
      <c r="M7" s="32" t="str">
        <f t="shared" si="4"/>
        <v/>
      </c>
      <c r="N7" s="2" t="s">
        <v>332</v>
      </c>
      <c r="O7" s="2" t="str">
        <f>_xlfn.XLOOKUP(B7, Actions!$A$2:$A$14, Actions!$E$2:$E$14, "Check action ID")</f>
        <v>Sustainability Manager</v>
      </c>
      <c r="P7" s="1"/>
      <c r="Q7" s="1"/>
      <c r="R7" s="1"/>
    </row>
    <row r="8" spans="1:18" ht="52.05" customHeight="1">
      <c r="A8" s="5" t="s">
        <v>348</v>
      </c>
      <c r="B8" s="5" t="s">
        <v>88</v>
      </c>
      <c r="C8" s="5" t="s">
        <v>349</v>
      </c>
      <c r="D8" s="5" t="s">
        <v>330</v>
      </c>
      <c r="E8" s="6">
        <v>4</v>
      </c>
      <c r="F8" s="6" t="s">
        <v>331</v>
      </c>
      <c r="G8" s="31">
        <v>35</v>
      </c>
      <c r="H8" s="32">
        <f t="shared" si="0"/>
        <v>140</v>
      </c>
      <c r="I8" s="33">
        <f t="shared" si="1"/>
        <v>0.1</v>
      </c>
      <c r="J8" s="32">
        <f t="shared" si="2"/>
        <v>14</v>
      </c>
      <c r="K8" s="32">
        <f t="shared" si="3"/>
        <v>154</v>
      </c>
      <c r="L8" s="31"/>
      <c r="M8" s="32" t="str">
        <f t="shared" si="4"/>
        <v/>
      </c>
      <c r="N8" s="5" t="s">
        <v>332</v>
      </c>
      <c r="O8" s="5" t="str">
        <f>_xlfn.XLOOKUP(B8, Actions!$A$2:$A$14, Actions!$E$2:$E$14, "Check action ID")</f>
        <v>Operations Manager</v>
      </c>
      <c r="P8" s="1"/>
      <c r="Q8" s="1"/>
      <c r="R8" s="1"/>
    </row>
    <row r="9" spans="1:18" ht="52.05" customHeight="1">
      <c r="A9" s="2" t="s">
        <v>350</v>
      </c>
      <c r="B9" s="2" t="s">
        <v>93</v>
      </c>
      <c r="C9" s="2" t="s">
        <v>351</v>
      </c>
      <c r="D9" s="2" t="s">
        <v>330</v>
      </c>
      <c r="E9" s="6">
        <v>4</v>
      </c>
      <c r="F9" s="6" t="s">
        <v>331</v>
      </c>
      <c r="G9" s="31">
        <v>45</v>
      </c>
      <c r="H9" s="32">
        <f t="shared" si="0"/>
        <v>180</v>
      </c>
      <c r="I9" s="33">
        <f t="shared" si="1"/>
        <v>0.1</v>
      </c>
      <c r="J9" s="32">
        <f t="shared" si="2"/>
        <v>18</v>
      </c>
      <c r="K9" s="32">
        <f t="shared" si="3"/>
        <v>198</v>
      </c>
      <c r="L9" s="31"/>
      <c r="M9" s="32" t="str">
        <f t="shared" si="4"/>
        <v/>
      </c>
      <c r="N9" s="2" t="s">
        <v>332</v>
      </c>
      <c r="O9" s="2" t="str">
        <f>_xlfn.XLOOKUP(B9, Actions!$A$2:$A$14, Actions!$E$2:$E$14, "Check action ID")</f>
        <v>Lighting Category Manager</v>
      </c>
      <c r="P9" s="1"/>
      <c r="Q9" s="40" t="s">
        <v>352</v>
      </c>
      <c r="R9" s="40"/>
    </row>
    <row r="10" spans="1:18" ht="52.05" customHeight="1">
      <c r="A10" s="5" t="s">
        <v>353</v>
      </c>
      <c r="B10" s="5" t="s">
        <v>98</v>
      </c>
      <c r="C10" s="5" t="s">
        <v>354</v>
      </c>
      <c r="D10" s="5" t="s">
        <v>330</v>
      </c>
      <c r="E10" s="6">
        <v>12</v>
      </c>
      <c r="F10" s="6" t="s">
        <v>331</v>
      </c>
      <c r="G10" s="31">
        <v>60</v>
      </c>
      <c r="H10" s="32">
        <f t="shared" si="0"/>
        <v>720</v>
      </c>
      <c r="I10" s="33">
        <f t="shared" si="1"/>
        <v>0.1</v>
      </c>
      <c r="J10" s="32">
        <f t="shared" si="2"/>
        <v>72</v>
      </c>
      <c r="K10" s="32">
        <f t="shared" si="3"/>
        <v>792</v>
      </c>
      <c r="L10" s="31"/>
      <c r="M10" s="32" t="str">
        <f t="shared" si="4"/>
        <v/>
      </c>
      <c r="N10" s="5" t="s">
        <v>332</v>
      </c>
      <c r="O10" s="5" t="str">
        <f>_xlfn.XLOOKUP(B10, Actions!$A$2:$A$14, Actions!$E$2:$E$14, "Check action ID")</f>
        <v>Sustainability Manager</v>
      </c>
      <c r="P10" s="1"/>
      <c r="Q10" s="40"/>
      <c r="R10" s="40"/>
    </row>
    <row r="11" spans="1:18" ht="52.05" customHeight="1">
      <c r="A11" s="2" t="s">
        <v>355</v>
      </c>
      <c r="B11" s="2" t="s">
        <v>62</v>
      </c>
      <c r="C11" s="2" t="s">
        <v>356</v>
      </c>
      <c r="D11" s="2" t="s">
        <v>357</v>
      </c>
      <c r="E11" s="6">
        <v>1</v>
      </c>
      <c r="F11" s="6" t="s">
        <v>358</v>
      </c>
      <c r="G11" s="31">
        <v>120</v>
      </c>
      <c r="H11" s="32">
        <f t="shared" si="0"/>
        <v>120</v>
      </c>
      <c r="I11" s="33">
        <f t="shared" si="1"/>
        <v>0.1</v>
      </c>
      <c r="J11" s="32">
        <f t="shared" si="2"/>
        <v>12</v>
      </c>
      <c r="K11" s="32">
        <f t="shared" si="3"/>
        <v>132</v>
      </c>
      <c r="L11" s="31"/>
      <c r="M11" s="32" t="str">
        <f t="shared" si="4"/>
        <v/>
      </c>
      <c r="N11" s="2" t="s">
        <v>332</v>
      </c>
      <c r="O11" s="2" t="str">
        <f>_xlfn.XLOOKUP(B11, Actions!$A$2:$A$14, Actions!$E$2:$E$14, "Check action ID")</f>
        <v>Commercial and Suppliers</v>
      </c>
      <c r="P11" s="1"/>
      <c r="Q11" s="40"/>
      <c r="R11" s="40"/>
    </row>
    <row r="12" spans="1:18" ht="25.05" customHeight="1">
      <c r="A12" s="17"/>
      <c r="B12" s="17"/>
      <c r="C12" s="17" t="s">
        <v>359</v>
      </c>
      <c r="D12" s="17"/>
      <c r="E12" s="17"/>
      <c r="F12" s="17"/>
      <c r="G12" s="35"/>
      <c r="H12" s="35">
        <f>IF(COUNT(H2:H11) &lt; 10, "Incomplete", SUM(H2:H11))</f>
        <v>3460</v>
      </c>
      <c r="I12" s="35"/>
      <c r="J12" s="35">
        <f>IF(COUNT(J2:J11) &lt; 10, "Incomplete", SUM(J2:J11))</f>
        <v>346</v>
      </c>
      <c r="K12" s="35">
        <f>IF(COUNT(K2:K11) &lt; 10, "Incomplete", SUM(K2:K11))</f>
        <v>3806</v>
      </c>
      <c r="L12" s="35" t="str">
        <f>IF(COUNT(L2:L11) &lt; 10, "Not complete", SUM(L2:L11))</f>
        <v>Not complete</v>
      </c>
      <c r="M12" s="35" t="str">
        <f>IF(COUNT(L2:L11) &lt; 10, "", L12 - K12)</f>
        <v/>
      </c>
      <c r="N12" s="17"/>
      <c r="O12" s="17"/>
      <c r="P12" s="1"/>
      <c r="Q12" s="40"/>
      <c r="R12" s="40"/>
    </row>
    <row r="13" spans="1:18" ht="25.0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40"/>
      <c r="R13" s="40"/>
    </row>
    <row r="14" spans="1:18" ht="25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0"/>
      <c r="R14" s="40"/>
    </row>
    <row r="15" spans="1:18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1">
    <mergeCell ref="Q9:R14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29181"/>
  </sheetPr>
  <dimension ref="A1:H44"/>
  <sheetViews>
    <sheetView showGridLines="0" topLeftCell="A19" workbookViewId="0"/>
  </sheetViews>
  <sheetFormatPr defaultRowHeight="13.8"/>
  <cols>
    <col min="1" max="1" width="30" customWidth="1"/>
    <col min="2" max="4" width="22" customWidth="1"/>
    <col min="5" max="8" width="20" customWidth="1"/>
  </cols>
  <sheetData>
    <row r="1" spans="1:8" ht="25.05" customHeight="1">
      <c r="A1" s="1" t="s">
        <v>394</v>
      </c>
      <c r="B1" s="1"/>
      <c r="C1" s="1"/>
      <c r="D1" s="1"/>
      <c r="E1" s="1"/>
      <c r="F1" s="1"/>
      <c r="G1" s="1"/>
      <c r="H1" s="1"/>
    </row>
    <row r="2" spans="1:8" ht="25.05" customHeight="1">
      <c r="A2" s="38" t="s">
        <v>360</v>
      </c>
      <c r="B2" s="1"/>
      <c r="C2" s="1"/>
      <c r="D2" s="1"/>
      <c r="E2" s="1"/>
      <c r="F2" s="1"/>
      <c r="G2" s="1"/>
      <c r="H2" s="1"/>
    </row>
    <row r="3" spans="1:8" ht="25.05" customHeight="1">
      <c r="A3" s="1"/>
      <c r="B3" s="1"/>
      <c r="C3" s="1"/>
      <c r="D3" s="1"/>
      <c r="E3" s="1"/>
      <c r="F3" s="1"/>
      <c r="G3" s="1"/>
      <c r="H3" s="1"/>
    </row>
    <row r="4" spans="1:8" ht="25.05" customHeight="1">
      <c r="A4" s="51" t="s">
        <v>361</v>
      </c>
      <c r="B4" s="40" t="s">
        <v>362</v>
      </c>
      <c r="C4" s="40"/>
      <c r="D4" s="40"/>
      <c r="E4" s="40"/>
      <c r="F4" s="40"/>
      <c r="G4" s="40"/>
      <c r="H4" s="40"/>
    </row>
    <row r="5" spans="1:8" ht="25.05" customHeight="1">
      <c r="A5" s="51"/>
      <c r="B5" s="40"/>
      <c r="C5" s="40"/>
      <c r="D5" s="40"/>
      <c r="E5" s="40"/>
      <c r="F5" s="40"/>
      <c r="G5" s="40"/>
      <c r="H5" s="40"/>
    </row>
    <row r="6" spans="1:8" ht="25.05" customHeight="1">
      <c r="A6" s="51" t="s">
        <v>363</v>
      </c>
      <c r="B6" s="40" t="s">
        <v>364</v>
      </c>
      <c r="C6" s="40"/>
      <c r="D6" s="40"/>
      <c r="E6" s="40"/>
      <c r="F6" s="40"/>
      <c r="G6" s="40"/>
      <c r="H6" s="40"/>
    </row>
    <row r="7" spans="1:8" ht="25.05" customHeight="1">
      <c r="A7" s="51"/>
      <c r="B7" s="40"/>
      <c r="C7" s="40"/>
      <c r="D7" s="40"/>
      <c r="E7" s="40"/>
      <c r="F7" s="40"/>
      <c r="G7" s="40"/>
      <c r="H7" s="40"/>
    </row>
    <row r="8" spans="1:8" ht="25.05" customHeight="1">
      <c r="A8" s="51" t="s">
        <v>365</v>
      </c>
      <c r="B8" s="40" t="s">
        <v>366</v>
      </c>
      <c r="C8" s="40"/>
      <c r="D8" s="40"/>
      <c r="E8" s="40"/>
      <c r="F8" s="40"/>
      <c r="G8" s="40"/>
      <c r="H8" s="40"/>
    </row>
    <row r="9" spans="1:8" ht="25.05" customHeight="1">
      <c r="A9" s="51"/>
      <c r="B9" s="40"/>
      <c r="C9" s="40"/>
      <c r="D9" s="40"/>
      <c r="E9" s="40"/>
      <c r="F9" s="40"/>
      <c r="G9" s="40"/>
      <c r="H9" s="40"/>
    </row>
    <row r="10" spans="1:8" ht="25.05" customHeight="1">
      <c r="A10" s="51" t="s">
        <v>2</v>
      </c>
      <c r="B10" s="40" t="s">
        <v>367</v>
      </c>
      <c r="C10" s="40"/>
      <c r="D10" s="40"/>
      <c r="E10" s="40"/>
      <c r="F10" s="40"/>
      <c r="G10" s="40"/>
      <c r="H10" s="40"/>
    </row>
    <row r="11" spans="1:8" ht="25.05" customHeight="1">
      <c r="A11" s="51"/>
      <c r="B11" s="40"/>
      <c r="C11" s="40"/>
      <c r="D11" s="40"/>
      <c r="E11" s="40"/>
      <c r="F11" s="40"/>
      <c r="G11" s="40"/>
      <c r="H11" s="40"/>
    </row>
    <row r="12" spans="1:8" ht="25.05" customHeight="1">
      <c r="A12" s="51" t="s">
        <v>368</v>
      </c>
      <c r="B12" s="40" t="s">
        <v>369</v>
      </c>
      <c r="C12" s="40"/>
      <c r="D12" s="40"/>
      <c r="E12" s="40"/>
      <c r="F12" s="40"/>
      <c r="G12" s="40"/>
      <c r="H12" s="40"/>
    </row>
    <row r="13" spans="1:8" ht="25.05" customHeight="1">
      <c r="A13" s="51"/>
      <c r="B13" s="40"/>
      <c r="C13" s="40"/>
      <c r="D13" s="40"/>
      <c r="E13" s="40"/>
      <c r="F13" s="40"/>
      <c r="G13" s="40"/>
      <c r="H13" s="40"/>
    </row>
    <row r="14" spans="1:8" ht="25.05" customHeight="1">
      <c r="A14" s="51" t="s">
        <v>150</v>
      </c>
      <c r="B14" s="40" t="s">
        <v>370</v>
      </c>
      <c r="C14" s="40"/>
      <c r="D14" s="40"/>
      <c r="E14" s="40"/>
      <c r="F14" s="40"/>
      <c r="G14" s="40"/>
      <c r="H14" s="40"/>
    </row>
    <row r="15" spans="1:8" ht="25.05" customHeight="1">
      <c r="A15" s="51"/>
      <c r="B15" s="40"/>
      <c r="C15" s="40"/>
      <c r="D15" s="40"/>
      <c r="E15" s="40"/>
      <c r="F15" s="40"/>
      <c r="G15" s="40"/>
      <c r="H15" s="40"/>
    </row>
    <row r="16" spans="1:8" ht="25.05" customHeight="1">
      <c r="A16" s="51" t="s">
        <v>211</v>
      </c>
      <c r="B16" s="40" t="s">
        <v>371</v>
      </c>
      <c r="C16" s="40"/>
      <c r="D16" s="40"/>
      <c r="E16" s="40"/>
      <c r="F16" s="40"/>
      <c r="G16" s="40"/>
      <c r="H16" s="40"/>
    </row>
    <row r="17" spans="1:8" ht="25.05" customHeight="1">
      <c r="A17" s="51"/>
      <c r="B17" s="40"/>
      <c r="C17" s="40"/>
      <c r="D17" s="40"/>
      <c r="E17" s="40"/>
      <c r="F17" s="40"/>
      <c r="G17" s="40"/>
      <c r="H17" s="40"/>
    </row>
    <row r="18" spans="1:8" ht="25.05" customHeight="1">
      <c r="A18" s="51" t="s">
        <v>372</v>
      </c>
      <c r="B18" s="40" t="s">
        <v>373</v>
      </c>
      <c r="C18" s="40"/>
      <c r="D18" s="40"/>
      <c r="E18" s="40"/>
      <c r="F18" s="40"/>
      <c r="G18" s="40"/>
      <c r="H18" s="40"/>
    </row>
    <row r="19" spans="1:8" ht="25.05" customHeight="1">
      <c r="A19" s="51"/>
      <c r="B19" s="40"/>
      <c r="C19" s="40"/>
      <c r="D19" s="40"/>
      <c r="E19" s="40"/>
      <c r="F19" s="40"/>
      <c r="G19" s="40"/>
      <c r="H19" s="40"/>
    </row>
    <row r="20" spans="1:8" ht="25.05" customHeight="1">
      <c r="A20" s="51" t="s">
        <v>374</v>
      </c>
      <c r="B20" s="40" t="s">
        <v>375</v>
      </c>
      <c r="C20" s="40"/>
      <c r="D20" s="40"/>
      <c r="E20" s="40"/>
      <c r="F20" s="40"/>
      <c r="G20" s="40"/>
      <c r="H20" s="40"/>
    </row>
    <row r="21" spans="1:8" ht="25.05" customHeight="1">
      <c r="A21" s="51"/>
      <c r="B21" s="40"/>
      <c r="C21" s="40"/>
      <c r="D21" s="40"/>
      <c r="E21" s="40"/>
      <c r="F21" s="40"/>
      <c r="G21" s="40"/>
      <c r="H21" s="40"/>
    </row>
    <row r="22" spans="1:8" ht="25.05" customHeight="1">
      <c r="A22" s="51" t="s">
        <v>376</v>
      </c>
      <c r="B22" s="40" t="s">
        <v>377</v>
      </c>
      <c r="C22" s="40"/>
      <c r="D22" s="40"/>
      <c r="E22" s="40"/>
      <c r="F22" s="40"/>
      <c r="G22" s="40"/>
      <c r="H22" s="40"/>
    </row>
    <row r="23" spans="1:8" ht="25.05" customHeight="1">
      <c r="A23" s="51"/>
      <c r="B23" s="40"/>
      <c r="C23" s="40"/>
      <c r="D23" s="40"/>
      <c r="E23" s="40"/>
      <c r="F23" s="40"/>
      <c r="G23" s="40"/>
      <c r="H23" s="40"/>
    </row>
    <row r="24" spans="1:8" ht="25.05" customHeight="1">
      <c r="A24" s="51" t="s">
        <v>378</v>
      </c>
      <c r="B24" s="40" t="s">
        <v>379</v>
      </c>
      <c r="C24" s="40"/>
      <c r="D24" s="40"/>
      <c r="E24" s="40"/>
      <c r="F24" s="40"/>
      <c r="G24" s="40"/>
      <c r="H24" s="40"/>
    </row>
    <row r="25" spans="1:8" ht="25.05" customHeight="1">
      <c r="A25" s="51"/>
      <c r="B25" s="40"/>
      <c r="C25" s="40"/>
      <c r="D25" s="40"/>
      <c r="E25" s="40"/>
      <c r="F25" s="40"/>
      <c r="G25" s="40"/>
      <c r="H25" s="40"/>
    </row>
    <row r="26" spans="1:8" ht="25.05" customHeight="1">
      <c r="A26" s="51" t="s">
        <v>380</v>
      </c>
      <c r="B26" s="40" t="s">
        <v>381</v>
      </c>
      <c r="C26" s="40"/>
      <c r="D26" s="40"/>
      <c r="E26" s="40"/>
      <c r="F26" s="40"/>
      <c r="G26" s="40"/>
      <c r="H26" s="40"/>
    </row>
    <row r="27" spans="1:8" ht="25.05" customHeight="1">
      <c r="A27" s="51"/>
      <c r="B27" s="40"/>
      <c r="C27" s="40"/>
      <c r="D27" s="40"/>
      <c r="E27" s="40"/>
      <c r="F27" s="40"/>
      <c r="G27" s="40"/>
      <c r="H27" s="40"/>
    </row>
    <row r="28" spans="1:8" ht="25.05" customHeight="1">
      <c r="A28" s="51" t="s">
        <v>382</v>
      </c>
      <c r="B28" s="40" t="s">
        <v>383</v>
      </c>
      <c r="C28" s="40"/>
      <c r="D28" s="40"/>
      <c r="E28" s="40"/>
      <c r="F28" s="40"/>
      <c r="G28" s="40"/>
      <c r="H28" s="40"/>
    </row>
    <row r="29" spans="1:8" ht="25.05" customHeight="1">
      <c r="A29" s="51"/>
      <c r="B29" s="40"/>
      <c r="C29" s="40"/>
      <c r="D29" s="40"/>
      <c r="E29" s="40"/>
      <c r="F29" s="40"/>
      <c r="G29" s="40"/>
      <c r="H29" s="40"/>
    </row>
    <row r="30" spans="1:8" ht="25.05" customHeight="1">
      <c r="A30" s="51" t="s">
        <v>384</v>
      </c>
      <c r="B30" s="40" t="s">
        <v>385</v>
      </c>
      <c r="C30" s="40"/>
      <c r="D30" s="40"/>
      <c r="E30" s="40"/>
      <c r="F30" s="40"/>
      <c r="G30" s="40"/>
      <c r="H30" s="40"/>
    </row>
    <row r="31" spans="1:8" ht="25.05" customHeight="1">
      <c r="A31" s="51"/>
      <c r="B31" s="40"/>
      <c r="C31" s="40"/>
      <c r="D31" s="40"/>
      <c r="E31" s="40"/>
      <c r="F31" s="40"/>
      <c r="G31" s="40"/>
      <c r="H31" s="40"/>
    </row>
    <row r="32" spans="1:8" ht="25.05" customHeight="1">
      <c r="A32" s="51" t="s">
        <v>386</v>
      </c>
      <c r="B32" s="40" t="s">
        <v>387</v>
      </c>
      <c r="C32" s="40"/>
      <c r="D32" s="40"/>
      <c r="E32" s="40"/>
      <c r="F32" s="40"/>
      <c r="G32" s="40"/>
      <c r="H32" s="40"/>
    </row>
    <row r="33" spans="1:8" ht="25.05" customHeight="1">
      <c r="A33" s="51"/>
      <c r="B33" s="40"/>
      <c r="C33" s="40"/>
      <c r="D33" s="40"/>
      <c r="E33" s="40"/>
      <c r="F33" s="40"/>
      <c r="G33" s="40"/>
      <c r="H33" s="40"/>
    </row>
    <row r="34" spans="1:8" ht="25.05" customHeight="1">
      <c r="A34" s="51" t="s">
        <v>388</v>
      </c>
      <c r="B34" s="40" t="s">
        <v>389</v>
      </c>
      <c r="C34" s="40"/>
      <c r="D34" s="40"/>
      <c r="E34" s="40"/>
      <c r="F34" s="40"/>
      <c r="G34" s="40"/>
      <c r="H34" s="40"/>
    </row>
    <row r="35" spans="1:8" ht="25.05" customHeight="1">
      <c r="A35" s="51"/>
      <c r="B35" s="40"/>
      <c r="C35" s="40"/>
      <c r="D35" s="40"/>
      <c r="E35" s="40"/>
      <c r="F35" s="40"/>
      <c r="G35" s="40"/>
      <c r="H35" s="40"/>
    </row>
    <row r="36" spans="1:8" ht="25.05" customHeight="1">
      <c r="A36" s="51" t="s">
        <v>390</v>
      </c>
      <c r="B36" s="40" t="s">
        <v>391</v>
      </c>
      <c r="C36" s="40"/>
      <c r="D36" s="40"/>
      <c r="E36" s="40"/>
      <c r="F36" s="40"/>
      <c r="G36" s="40"/>
      <c r="H36" s="40"/>
    </row>
    <row r="37" spans="1:8" ht="25.05" customHeight="1">
      <c r="A37" s="51"/>
      <c r="B37" s="40"/>
      <c r="C37" s="40"/>
      <c r="D37" s="40"/>
      <c r="E37" s="40"/>
      <c r="F37" s="40"/>
      <c r="G37" s="40"/>
      <c r="H37" s="40"/>
    </row>
    <row r="38" spans="1:8" ht="25.05" customHeight="1">
      <c r="A38" s="51" t="s">
        <v>392</v>
      </c>
      <c r="B38" s="40" t="s">
        <v>393</v>
      </c>
      <c r="C38" s="40"/>
      <c r="D38" s="40"/>
      <c r="E38" s="40"/>
      <c r="F38" s="40"/>
      <c r="G38" s="40"/>
      <c r="H38" s="40"/>
    </row>
    <row r="39" spans="1:8" ht="25.05" customHeight="1">
      <c r="A39" s="51"/>
      <c r="B39" s="40"/>
      <c r="C39" s="40"/>
      <c r="D39" s="40"/>
      <c r="E39" s="40"/>
      <c r="F39" s="40"/>
      <c r="G39" s="40"/>
      <c r="H39" s="40"/>
    </row>
    <row r="40" spans="1:8" ht="25.05" customHeight="1">
      <c r="A40" s="1"/>
      <c r="B40" s="1"/>
      <c r="C40" s="1"/>
      <c r="D40" s="1"/>
      <c r="E40" s="1"/>
      <c r="F40" s="1"/>
      <c r="G40" s="1"/>
      <c r="H40" s="1"/>
    </row>
    <row r="41" spans="1:8" ht="25.05" customHeight="1">
      <c r="A41" s="1"/>
      <c r="B41" s="1"/>
      <c r="C41" s="1"/>
      <c r="D41" s="1"/>
      <c r="E41" s="1"/>
      <c r="F41" s="1"/>
      <c r="G41" s="1"/>
      <c r="H41" s="1"/>
    </row>
    <row r="42" spans="1:8" ht="25.05" customHeight="1">
      <c r="A42" s="1"/>
      <c r="B42" s="1"/>
      <c r="C42" s="1"/>
      <c r="D42" s="1"/>
      <c r="E42" s="1"/>
      <c r="F42" s="1"/>
      <c r="G42" s="1"/>
      <c r="H42" s="1"/>
    </row>
    <row r="43" spans="1:8" ht="25.05" customHeight="1">
      <c r="A43" s="1"/>
      <c r="B43" s="1"/>
      <c r="C43" s="1"/>
      <c r="D43" s="1"/>
      <c r="E43" s="1"/>
      <c r="F43" s="1"/>
      <c r="G43" s="1"/>
      <c r="H43" s="1"/>
    </row>
    <row r="44" spans="1:8" ht="25.05" customHeight="1">
      <c r="A44" s="1"/>
      <c r="B44" s="1"/>
      <c r="C44" s="1"/>
      <c r="D44" s="1"/>
      <c r="E44" s="1"/>
      <c r="F44" s="1"/>
      <c r="G44" s="1"/>
      <c r="H44" s="1"/>
    </row>
  </sheetData>
  <mergeCells count="36">
    <mergeCell ref="A34:A35"/>
    <mergeCell ref="B34:H35"/>
    <mergeCell ref="A36:A37"/>
    <mergeCell ref="B36:H37"/>
    <mergeCell ref="A38:A39"/>
    <mergeCell ref="B38:H39"/>
    <mergeCell ref="A28:A29"/>
    <mergeCell ref="B28:H29"/>
    <mergeCell ref="A30:A31"/>
    <mergeCell ref="B30:H31"/>
    <mergeCell ref="A32:A33"/>
    <mergeCell ref="B32:H33"/>
    <mergeCell ref="A22:A23"/>
    <mergeCell ref="B22:H23"/>
    <mergeCell ref="A24:A25"/>
    <mergeCell ref="B24:H25"/>
    <mergeCell ref="A26:A27"/>
    <mergeCell ref="B26:H27"/>
    <mergeCell ref="A16:A17"/>
    <mergeCell ref="B16:H17"/>
    <mergeCell ref="A18:A19"/>
    <mergeCell ref="B18:H19"/>
    <mergeCell ref="A20:A21"/>
    <mergeCell ref="B20:H21"/>
    <mergeCell ref="A10:A11"/>
    <mergeCell ref="B10:H11"/>
    <mergeCell ref="A12:A13"/>
    <mergeCell ref="B12:H13"/>
    <mergeCell ref="A14:A15"/>
    <mergeCell ref="B14:H15"/>
    <mergeCell ref="A4:A5"/>
    <mergeCell ref="B4:H5"/>
    <mergeCell ref="A6:A7"/>
    <mergeCell ref="B6:H7"/>
    <mergeCell ref="A8:A9"/>
    <mergeCell ref="B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Actions</vt:lpstr>
      <vt:lpstr>Suppliers</vt:lpstr>
      <vt:lpstr>Products</vt:lpstr>
      <vt:lpstr>Packaging</vt:lpstr>
      <vt:lpstr>ESG_Monthly</vt:lpstr>
      <vt:lpstr>Regulations</vt:lpstr>
      <vt:lpstr>Costs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malik</cp:lastModifiedBy>
  <dcterms:modified xsi:type="dcterms:W3CDTF">2026-09-28T01:42:09Z</dcterms:modified>
</cp:coreProperties>
</file>